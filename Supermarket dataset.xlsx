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hukurat\Documents\"/>
    </mc:Choice>
  </mc:AlternateContent>
  <xr:revisionPtr revIDLastSave="0" documentId="13_ncr:1_{6D5EE35F-DB8E-408B-B3FA-1CAB5AF9FE81}" xr6:coauthVersionLast="47" xr6:coauthVersionMax="47" xr10:uidLastSave="{00000000-0000-0000-0000-000000000000}"/>
  <bookViews>
    <workbookView xWindow="-120" yWindow="-120" windowWidth="20730" windowHeight="11160" firstSheet="1" activeTab="9" xr2:uid="{4E8E6103-028B-4288-B3FA-092FA8D304D9}"/>
  </bookViews>
  <sheets>
    <sheet name="Sheet1" sheetId="2" r:id="rId1"/>
    <sheet name="Sheet3" sheetId="6" r:id="rId2"/>
    <sheet name="Sheet2" sheetId="5" r:id="rId3"/>
    <sheet name="Sheet4" sheetId="7" r:id="rId4"/>
    <sheet name="Sheet5" sheetId="8" r:id="rId5"/>
    <sheet name="Sheet6" sheetId="9" r:id="rId6"/>
    <sheet name="Sheet7" sheetId="11" r:id="rId7"/>
    <sheet name="Sheet8" sheetId="12" r:id="rId8"/>
    <sheet name="Sheet9" sheetId="14" r:id="rId9"/>
    <sheet name="Sheet12" sheetId="15" r:id="rId10"/>
    <sheet name="Sheet13" sheetId="16" r:id="rId11"/>
  </sheets>
  <definedNames>
    <definedName name="_xlnm._FilterDatabase" localSheetId="2" hidden="1">Sheet2!$K$1:$K$246</definedName>
    <definedName name="Slicer_Product_Category">#N/A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3" i="5" l="1"/>
  <c r="H135" i="5"/>
  <c r="H35" i="5"/>
  <c r="G244" i="5"/>
  <c r="G13" i="5"/>
  <c r="G4" i="5"/>
  <c r="B11" i="6"/>
  <c r="D8" i="8"/>
  <c r="B11" i="7"/>
</calcChain>
</file>

<file path=xl/sharedStrings.xml><?xml version="1.0" encoding="utf-8"?>
<sst xmlns="http://schemas.openxmlformats.org/spreadsheetml/2006/main" count="3554" uniqueCount="595">
  <si>
    <t>Invoice_ID</t>
  </si>
  <si>
    <t>Customer_Name</t>
  </si>
  <si>
    <t>Gender</t>
  </si>
  <si>
    <t>Product_Category</t>
  </si>
  <si>
    <t>Product_Name</t>
  </si>
  <si>
    <t>Quantity</t>
  </si>
  <si>
    <t>Unit_Price</t>
  </si>
  <si>
    <t>Total_Amount</t>
  </si>
  <si>
    <t>Payment_Method</t>
  </si>
  <si>
    <t>Date</t>
  </si>
  <si>
    <t>Location</t>
  </si>
  <si>
    <t>INV001</t>
  </si>
  <si>
    <t>Angelica Taylor</t>
  </si>
  <si>
    <t>Female</t>
  </si>
  <si>
    <t>Snacks</t>
  </si>
  <si>
    <t>Biscuits</t>
  </si>
  <si>
    <t>Cash</t>
  </si>
  <si>
    <t>Port Harcourt</t>
  </si>
  <si>
    <t>INV002</t>
  </si>
  <si>
    <t>Mary Williams</t>
  </si>
  <si>
    <t>Beverages</t>
  </si>
  <si>
    <t>Fanta</t>
  </si>
  <si>
    <t>Online</t>
  </si>
  <si>
    <t>Benin City</t>
  </si>
  <si>
    <t>INV003</t>
  </si>
  <si>
    <t>George King</t>
  </si>
  <si>
    <t>Male</t>
  </si>
  <si>
    <t>Transfer</t>
  </si>
  <si>
    <t>INV004</t>
  </si>
  <si>
    <t>Angelica Morrison</t>
  </si>
  <si>
    <t>Household</t>
  </si>
  <si>
    <t>Ibadan</t>
  </si>
  <si>
    <t>INV005</t>
  </si>
  <si>
    <t>Madison Werner</t>
  </si>
  <si>
    <t>Toilet Paper</t>
  </si>
  <si>
    <t>Lagos</t>
  </si>
  <si>
    <t>INV006</t>
  </si>
  <si>
    <t>Carol Washington</t>
  </si>
  <si>
    <t>Soap</t>
  </si>
  <si>
    <t>INV007</t>
  </si>
  <si>
    <t>Dustin Cooper</t>
  </si>
  <si>
    <t>Coke</t>
  </si>
  <si>
    <t>INV008</t>
  </si>
  <si>
    <t>Veronica Lloyd</t>
  </si>
  <si>
    <t>Personal Care</t>
  </si>
  <si>
    <t>Shampoo</t>
  </si>
  <si>
    <t>INV009</t>
  </si>
  <si>
    <t>Gregory Long</t>
  </si>
  <si>
    <t>Chin Chin</t>
  </si>
  <si>
    <t>INV010</t>
  </si>
  <si>
    <t>Amy Ortiz</t>
  </si>
  <si>
    <t>June 22, 2025</t>
  </si>
  <si>
    <t>INV011</t>
  </si>
  <si>
    <t>Sharon Hartman</t>
  </si>
  <si>
    <t>INV012</t>
  </si>
  <si>
    <t>Mary Lawson</t>
  </si>
  <si>
    <t>Lotion</t>
  </si>
  <si>
    <t>INV013</t>
  </si>
  <si>
    <t>Cindy Ortiz</t>
  </si>
  <si>
    <t>INV014</t>
  </si>
  <si>
    <t>Sarah Hall</t>
  </si>
  <si>
    <t>INV015</t>
  </si>
  <si>
    <t>Air Freshener</t>
  </si>
  <si>
    <t>INV016</t>
  </si>
  <si>
    <t>Marcus Reed</t>
  </si>
  <si>
    <t>Abuja</t>
  </si>
  <si>
    <t>INV017</t>
  </si>
  <si>
    <t>Nicole Shelton</t>
  </si>
  <si>
    <t>INV018</t>
  </si>
  <si>
    <t>James Daniel</t>
  </si>
  <si>
    <t>Detergent</t>
  </si>
  <si>
    <t>INV019</t>
  </si>
  <si>
    <t>Christy Harris</t>
  </si>
  <si>
    <t>INV020</t>
  </si>
  <si>
    <t>Donna Woods</t>
  </si>
  <si>
    <t>Juice</t>
  </si>
  <si>
    <t>INV021</t>
  </si>
  <si>
    <t>Russell Price</t>
  </si>
  <si>
    <t>Cookies</t>
  </si>
  <si>
    <t>Kano</t>
  </si>
  <si>
    <t>INV022</t>
  </si>
  <si>
    <t>David Drake</t>
  </si>
  <si>
    <t>INV023</t>
  </si>
  <si>
    <t>Sarah Richardson</t>
  </si>
  <si>
    <t>INV024</t>
  </si>
  <si>
    <t>Jessica Hayes</t>
  </si>
  <si>
    <t>INV025</t>
  </si>
  <si>
    <t>INV026</t>
  </si>
  <si>
    <t>Pepsi</t>
  </si>
  <si>
    <t>INV027</t>
  </si>
  <si>
    <t>Brandon Barnett</t>
  </si>
  <si>
    <t>INV028</t>
  </si>
  <si>
    <t>Robert Taylor</t>
  </si>
  <si>
    <t>INV029</t>
  </si>
  <si>
    <t>Amber Parker</t>
  </si>
  <si>
    <t>Port-Harcourt</t>
  </si>
  <si>
    <t>INV030</t>
  </si>
  <si>
    <t>INV031</t>
  </si>
  <si>
    <t>David Allen</t>
  </si>
  <si>
    <t>Granola Bar</t>
  </si>
  <si>
    <t>INV032</t>
  </si>
  <si>
    <t>Sean Coleman</t>
  </si>
  <si>
    <t>INV033</t>
  </si>
  <si>
    <t>Joseph Duran</t>
  </si>
  <si>
    <t>INV034</t>
  </si>
  <si>
    <t>Deborah Perez</t>
  </si>
  <si>
    <t>INV035</t>
  </si>
  <si>
    <t>Anthony Pugh</t>
  </si>
  <si>
    <t>INV036</t>
  </si>
  <si>
    <t>Chips</t>
  </si>
  <si>
    <t>INV037</t>
  </si>
  <si>
    <t>Ruth Garcia</t>
  </si>
  <si>
    <t>Water</t>
  </si>
  <si>
    <t>22-06-2025</t>
  </si>
  <si>
    <t>INV038</t>
  </si>
  <si>
    <t>Lindsey Henry</t>
  </si>
  <si>
    <t>June 19, 2025</t>
  </si>
  <si>
    <t>INV039</t>
  </si>
  <si>
    <t>David Ruiz</t>
  </si>
  <si>
    <t>INV040</t>
  </si>
  <si>
    <t>Yolanda Ward</t>
  </si>
  <si>
    <t>INV041</t>
  </si>
  <si>
    <t>Christopher Young</t>
  </si>
  <si>
    <t>INV042</t>
  </si>
  <si>
    <t>Michael Hall</t>
  </si>
  <si>
    <t>Hand Sanitizer</t>
  </si>
  <si>
    <t>INV043</t>
  </si>
  <si>
    <t>Jessica Williams</t>
  </si>
  <si>
    <t>INV044</t>
  </si>
  <si>
    <t>Rebecca Charles</t>
  </si>
  <si>
    <t>INV045</t>
  </si>
  <si>
    <t>Michelle Duran</t>
  </si>
  <si>
    <t>INV046</t>
  </si>
  <si>
    <t>Keith Brown</t>
  </si>
  <si>
    <t>INV047</t>
  </si>
  <si>
    <t>Lisa Watson</t>
  </si>
  <si>
    <t>INV048</t>
  </si>
  <si>
    <t>Sarah Norris</t>
  </si>
  <si>
    <t>27/06/2025</t>
  </si>
  <si>
    <t>INV049</t>
  </si>
  <si>
    <t>Nicholas Wilson</t>
  </si>
  <si>
    <t>INV050</t>
  </si>
  <si>
    <t>Charles Hopkins</t>
  </si>
  <si>
    <t>Bleach</t>
  </si>
  <si>
    <t>INV051</t>
  </si>
  <si>
    <t>Andrew Little</t>
  </si>
  <si>
    <t>INV052</t>
  </si>
  <si>
    <t>Mitchell Campbell</t>
  </si>
  <si>
    <t>INV053</t>
  </si>
  <si>
    <t>Matthew Smith</t>
  </si>
  <si>
    <t>INV054</t>
  </si>
  <si>
    <t>Tamara Green</t>
  </si>
  <si>
    <t>INV055</t>
  </si>
  <si>
    <t>Madison Ward</t>
  </si>
  <si>
    <t>INV056</t>
  </si>
  <si>
    <t>Donna Herrera</t>
  </si>
  <si>
    <t>24-06-2025</t>
  </si>
  <si>
    <t>INV057</t>
  </si>
  <si>
    <t>Lisa Foster</t>
  </si>
  <si>
    <t>INV058</t>
  </si>
  <si>
    <t>Jeffrey Johnson</t>
  </si>
  <si>
    <t>INV059</t>
  </si>
  <si>
    <t>Steven Boyd</t>
  </si>
  <si>
    <t>Unknown</t>
  </si>
  <si>
    <t>INV060</t>
  </si>
  <si>
    <t>Michael Lawrence</t>
  </si>
  <si>
    <t>INV061</t>
  </si>
  <si>
    <t>Michael Villa</t>
  </si>
  <si>
    <t>INV062</t>
  </si>
  <si>
    <t>Joseph Johnson</t>
  </si>
  <si>
    <t>Deodorant</t>
  </si>
  <si>
    <t>INV063</t>
  </si>
  <si>
    <t>Michael Sharp</t>
  </si>
  <si>
    <t>INV064</t>
  </si>
  <si>
    <t>Katrina Andrews</t>
  </si>
  <si>
    <t>Toothpaste</t>
  </si>
  <si>
    <t>INV065</t>
  </si>
  <si>
    <t>Beth Ruiz</t>
  </si>
  <si>
    <t>INV066</t>
  </si>
  <si>
    <t>Alexis Pena</t>
  </si>
  <si>
    <t>INV067</t>
  </si>
  <si>
    <t>Keith Chang</t>
  </si>
  <si>
    <t>09-06-2025</t>
  </si>
  <si>
    <t>INV068</t>
  </si>
  <si>
    <t>Kaitlyn Figueroa</t>
  </si>
  <si>
    <t>INV069</t>
  </si>
  <si>
    <t>Scott West</t>
  </si>
  <si>
    <t>INV070</t>
  </si>
  <si>
    <t>Rachael Shepherd</t>
  </si>
  <si>
    <t>INV071</t>
  </si>
  <si>
    <t>Jennifer Floyd</t>
  </si>
  <si>
    <t>INV072</t>
  </si>
  <si>
    <t>Philip Harmon</t>
  </si>
  <si>
    <t>INV073</t>
  </si>
  <si>
    <t>Gary Watson</t>
  </si>
  <si>
    <t>INV074</t>
  </si>
  <si>
    <t>Beth Lopez</t>
  </si>
  <si>
    <t>INV075</t>
  </si>
  <si>
    <t>Miguel Christian</t>
  </si>
  <si>
    <t>INV076</t>
  </si>
  <si>
    <t>David White</t>
  </si>
  <si>
    <t>INV077</t>
  </si>
  <si>
    <t>Crystal Horton</t>
  </si>
  <si>
    <t>INV078</t>
  </si>
  <si>
    <t>INV079</t>
  </si>
  <si>
    <t>John Evans</t>
  </si>
  <si>
    <t>INV080</t>
  </si>
  <si>
    <t>Lisa Jimenez</t>
  </si>
  <si>
    <t>INV081</t>
  </si>
  <si>
    <t>Kimberly Wilson</t>
  </si>
  <si>
    <t>INV082</t>
  </si>
  <si>
    <t>Jennifer Thomas</t>
  </si>
  <si>
    <t>INV083</t>
  </si>
  <si>
    <t>James Molina</t>
  </si>
  <si>
    <t>INV084</t>
  </si>
  <si>
    <t>Stephen Bradley</t>
  </si>
  <si>
    <t>INV085</t>
  </si>
  <si>
    <t>Sean Schroeder</t>
  </si>
  <si>
    <t>INV086</t>
  </si>
  <si>
    <t>Patrick Spence</t>
  </si>
  <si>
    <t>INV087</t>
  </si>
  <si>
    <t>Jeffery Campbell</t>
  </si>
  <si>
    <t>INV088</t>
  </si>
  <si>
    <t>Kevin Sandoval</t>
  </si>
  <si>
    <t>INV089</t>
  </si>
  <si>
    <t>Wendy Mayer</t>
  </si>
  <si>
    <t>INV090</t>
  </si>
  <si>
    <t>INV091</t>
  </si>
  <si>
    <t>Sandra Frederick</t>
  </si>
  <si>
    <t>INV092</t>
  </si>
  <si>
    <t>Jennifer Taylor</t>
  </si>
  <si>
    <t>June 10, 2025</t>
  </si>
  <si>
    <t>INV093</t>
  </si>
  <si>
    <t>Kenneth Chavez</t>
  </si>
  <si>
    <t>INV094</t>
  </si>
  <si>
    <t>Brian Moore</t>
  </si>
  <si>
    <t>INV095</t>
  </si>
  <si>
    <t>Justin Stevenson</t>
  </si>
  <si>
    <t>INV096</t>
  </si>
  <si>
    <t>Brian Orr</t>
  </si>
  <si>
    <t>INV097</t>
  </si>
  <si>
    <t>Erika Lowery</t>
  </si>
  <si>
    <t>Femle</t>
  </si>
  <si>
    <t>INV098</t>
  </si>
  <si>
    <t>Gregory Brown</t>
  </si>
  <si>
    <t>INV099</t>
  </si>
  <si>
    <t>Kathleen Smith</t>
  </si>
  <si>
    <t>INV100</t>
  </si>
  <si>
    <t>Melanie Martin</t>
  </si>
  <si>
    <t>INV101</t>
  </si>
  <si>
    <t>INV102</t>
  </si>
  <si>
    <t>Erik Nguyen</t>
  </si>
  <si>
    <t>INV103</t>
  </si>
  <si>
    <t>Felicia Duncan</t>
  </si>
  <si>
    <t>INV104</t>
  </si>
  <si>
    <t>Jennifer Flores</t>
  </si>
  <si>
    <t>2025/06/12</t>
  </si>
  <si>
    <t>INV105</t>
  </si>
  <si>
    <t>Robert Owens</t>
  </si>
  <si>
    <t>685.0</t>
  </si>
  <si>
    <t>25/06/2025</t>
  </si>
  <si>
    <t>INV106</t>
  </si>
  <si>
    <t>Linda Adams</t>
  </si>
  <si>
    <t>INV107</t>
  </si>
  <si>
    <t>Mary Johnson</t>
  </si>
  <si>
    <t>INV108</t>
  </si>
  <si>
    <t>Michael Leach</t>
  </si>
  <si>
    <t>INV109</t>
  </si>
  <si>
    <t>Matthew Tyler</t>
  </si>
  <si>
    <t>INV110</t>
  </si>
  <si>
    <t>Jonathan Peterson</t>
  </si>
  <si>
    <t>INV111</t>
  </si>
  <si>
    <t>Lindsay Martinez</t>
  </si>
  <si>
    <t>INV112</t>
  </si>
  <si>
    <t>Daniel Anderson</t>
  </si>
  <si>
    <t>INV113</t>
  </si>
  <si>
    <t>Megan Vaughn</t>
  </si>
  <si>
    <t>INV114</t>
  </si>
  <si>
    <t>Linda Rodriguez</t>
  </si>
  <si>
    <t>INV115</t>
  </si>
  <si>
    <t>Amy Lewis</t>
  </si>
  <si>
    <t>INV116</t>
  </si>
  <si>
    <t>Phillip Walker</t>
  </si>
  <si>
    <t>June 15, 2025</t>
  </si>
  <si>
    <t>INV117</t>
  </si>
  <si>
    <t>Melissa Miller</t>
  </si>
  <si>
    <t>INV118</t>
  </si>
  <si>
    <t>Sara Miller</t>
  </si>
  <si>
    <t>INV119</t>
  </si>
  <si>
    <t>Lori Garner</t>
  </si>
  <si>
    <t>INV120</t>
  </si>
  <si>
    <t>INV121</t>
  </si>
  <si>
    <t>Karen Hansen</t>
  </si>
  <si>
    <t xml:space="preserve"> </t>
  </si>
  <si>
    <t>INV122</t>
  </si>
  <si>
    <t>Steven Parker</t>
  </si>
  <si>
    <t>INV123</t>
  </si>
  <si>
    <t>Stacy Fischer</t>
  </si>
  <si>
    <t>INV124</t>
  </si>
  <si>
    <t>Amanda Waller</t>
  </si>
  <si>
    <t>INV125</t>
  </si>
  <si>
    <t>Terrence Kidd</t>
  </si>
  <si>
    <t>INV126</t>
  </si>
  <si>
    <t>Kylie Bennett</t>
  </si>
  <si>
    <t>13-06-2025</t>
  </si>
  <si>
    <t>INV127</t>
  </si>
  <si>
    <t>Troy Gibson</t>
  </si>
  <si>
    <t>June 05, 2025</t>
  </si>
  <si>
    <t>INV128</t>
  </si>
  <si>
    <t>Penny Hernandez</t>
  </si>
  <si>
    <t>INV129</t>
  </si>
  <si>
    <t>Kenneth Morton</t>
  </si>
  <si>
    <t>INV130</t>
  </si>
  <si>
    <t>Katherine Curry</t>
  </si>
  <si>
    <t>INV131</t>
  </si>
  <si>
    <t>Heather Shaw</t>
  </si>
  <si>
    <t>INV132</t>
  </si>
  <si>
    <t>Seth Anderson</t>
  </si>
  <si>
    <t>INV133</t>
  </si>
  <si>
    <t>Beth Tyler</t>
  </si>
  <si>
    <t>INV134</t>
  </si>
  <si>
    <t>Donald Ingram</t>
  </si>
  <si>
    <t>INV135</t>
  </si>
  <si>
    <t>Randy Hudson</t>
  </si>
  <si>
    <t>128.0</t>
  </si>
  <si>
    <t>INV136</t>
  </si>
  <si>
    <t>Laura Flores</t>
  </si>
  <si>
    <t>INV137</t>
  </si>
  <si>
    <t>Martin Young</t>
  </si>
  <si>
    <t>INV138</t>
  </si>
  <si>
    <t>Jason Morales</t>
  </si>
  <si>
    <t>INV139</t>
  </si>
  <si>
    <t>Laura Lewis</t>
  </si>
  <si>
    <t>INV140</t>
  </si>
  <si>
    <t>Richard Thompson</t>
  </si>
  <si>
    <t>INV141</t>
  </si>
  <si>
    <t>Tyler Patterson</t>
  </si>
  <si>
    <t>INV142</t>
  </si>
  <si>
    <t>INV143</t>
  </si>
  <si>
    <t>Kevin Larson</t>
  </si>
  <si>
    <t>INV144</t>
  </si>
  <si>
    <t>INV145</t>
  </si>
  <si>
    <t>INV146</t>
  </si>
  <si>
    <t>Douglas Price</t>
  </si>
  <si>
    <t>INV147</t>
  </si>
  <si>
    <t>Laura Molina</t>
  </si>
  <si>
    <t>INV148</t>
  </si>
  <si>
    <t>Edward Proctor</t>
  </si>
  <si>
    <t>INV149</t>
  </si>
  <si>
    <t>Matthew Powers</t>
  </si>
  <si>
    <t>June 25, 2025</t>
  </si>
  <si>
    <t>INV150</t>
  </si>
  <si>
    <t>Shawn Maldonado</t>
  </si>
  <si>
    <t>INV151</t>
  </si>
  <si>
    <t>Zachary Hamilton</t>
  </si>
  <si>
    <t>INV152</t>
  </si>
  <si>
    <t>Drew Tanner</t>
  </si>
  <si>
    <t>June 07, 2025</t>
  </si>
  <si>
    <t>INV153</t>
  </si>
  <si>
    <t>Danielle Gonzales</t>
  </si>
  <si>
    <t>INV154</t>
  </si>
  <si>
    <t>Brianna Davis</t>
  </si>
  <si>
    <t>INV155</t>
  </si>
  <si>
    <t>Tammy White</t>
  </si>
  <si>
    <t>INV156</t>
  </si>
  <si>
    <t>Nicole Larson</t>
  </si>
  <si>
    <t>2025/06/18</t>
  </si>
  <si>
    <t>INV157</t>
  </si>
  <si>
    <t>Arthur Morris</t>
  </si>
  <si>
    <t>INV158</t>
  </si>
  <si>
    <t>Lindsay Mason</t>
  </si>
  <si>
    <t>INV159</t>
  </si>
  <si>
    <t>Stephen Williams</t>
  </si>
  <si>
    <t>INV160</t>
  </si>
  <si>
    <t>Gary Dillon</t>
  </si>
  <si>
    <t>INV161</t>
  </si>
  <si>
    <t>Joseph Contreras</t>
  </si>
  <si>
    <t>INV162</t>
  </si>
  <si>
    <t>Benjamin Vargas</t>
  </si>
  <si>
    <t>INV163</t>
  </si>
  <si>
    <t>Kimberly Vasquez</t>
  </si>
  <si>
    <t>INV164</t>
  </si>
  <si>
    <t>Nina Shaw</t>
  </si>
  <si>
    <t>INV165</t>
  </si>
  <si>
    <t>Juan Harvey</t>
  </si>
  <si>
    <t>INV166</t>
  </si>
  <si>
    <t>Raymond Gray</t>
  </si>
  <si>
    <t>INV167</t>
  </si>
  <si>
    <t>Matthew Davis</t>
  </si>
  <si>
    <t>INV168</t>
  </si>
  <si>
    <t>Michelle Long</t>
  </si>
  <si>
    <t>INV169</t>
  </si>
  <si>
    <t>Harold Vargas</t>
  </si>
  <si>
    <t>INV170</t>
  </si>
  <si>
    <t>Johnny Garcia</t>
  </si>
  <si>
    <t>INV171</t>
  </si>
  <si>
    <t>Samantha Moore</t>
  </si>
  <si>
    <t>INV172</t>
  </si>
  <si>
    <t>Eric Willis</t>
  </si>
  <si>
    <t>INV173</t>
  </si>
  <si>
    <t>Lauren Murphy</t>
  </si>
  <si>
    <t>INV174</t>
  </si>
  <si>
    <t>Nicholas Ramirez</t>
  </si>
  <si>
    <t>INV175</t>
  </si>
  <si>
    <t>Karen Garner</t>
  </si>
  <si>
    <t>INV176</t>
  </si>
  <si>
    <t>David Berry</t>
  </si>
  <si>
    <t>INV177</t>
  </si>
  <si>
    <t>Joseph Perkins</t>
  </si>
  <si>
    <t>INV178</t>
  </si>
  <si>
    <t>Jerry Johnson</t>
  </si>
  <si>
    <t>INV179</t>
  </si>
  <si>
    <t>Sharon Conner</t>
  </si>
  <si>
    <t>INV180</t>
  </si>
  <si>
    <t>Debra Lutz</t>
  </si>
  <si>
    <t>INV181</t>
  </si>
  <si>
    <t>Emily Hill</t>
  </si>
  <si>
    <t>INV182</t>
  </si>
  <si>
    <t>Nancy Carter</t>
  </si>
  <si>
    <t>INV183</t>
  </si>
  <si>
    <t>James Carpenter</t>
  </si>
  <si>
    <t>INV184</t>
  </si>
  <si>
    <t>INV185</t>
  </si>
  <si>
    <t>William Fuentes</t>
  </si>
  <si>
    <t>INV186</t>
  </si>
  <si>
    <t>Jackie Stevens</t>
  </si>
  <si>
    <t>INV187</t>
  </si>
  <si>
    <t>Samantha King</t>
  </si>
  <si>
    <t>INV188</t>
  </si>
  <si>
    <t>Emily Cook</t>
  </si>
  <si>
    <t>INV189</t>
  </si>
  <si>
    <t>INV190</t>
  </si>
  <si>
    <t>Heather Phillips</t>
  </si>
  <si>
    <t>INV191</t>
  </si>
  <si>
    <t>Sarah Robinson</t>
  </si>
  <si>
    <t>INV192</t>
  </si>
  <si>
    <t>Dawn Landry</t>
  </si>
  <si>
    <t>INV193</t>
  </si>
  <si>
    <t>Michelle Davis</t>
  </si>
  <si>
    <t>INV194</t>
  </si>
  <si>
    <t>Brent Perez</t>
  </si>
  <si>
    <t>INV195</t>
  </si>
  <si>
    <t>Daniel Wong</t>
  </si>
  <si>
    <t>INV196</t>
  </si>
  <si>
    <t>Michael Edwards</t>
  </si>
  <si>
    <t>INV197</t>
  </si>
  <si>
    <t>Morgan Hogan</t>
  </si>
  <si>
    <t>INV198</t>
  </si>
  <si>
    <t>Gary Jordan</t>
  </si>
  <si>
    <t>INV199</t>
  </si>
  <si>
    <t>Joshua Murphy</t>
  </si>
  <si>
    <t xml:space="preserve">Cash </t>
  </si>
  <si>
    <t>INV200</t>
  </si>
  <si>
    <t>Amy Suarez</t>
  </si>
  <si>
    <t>2025/06/28</t>
  </si>
  <si>
    <t>INV201</t>
  </si>
  <si>
    <t>Stephanie Joseph</t>
  </si>
  <si>
    <t>INV202</t>
  </si>
  <si>
    <t>Tina Gonzalez</t>
  </si>
  <si>
    <t>INV203</t>
  </si>
  <si>
    <t>Timothy Chandler</t>
  </si>
  <si>
    <t>INV204</t>
  </si>
  <si>
    <t>INV205</t>
  </si>
  <si>
    <t>Kelsey Schaefer</t>
  </si>
  <si>
    <t>INV206</t>
  </si>
  <si>
    <t>Nicholas Brady</t>
  </si>
  <si>
    <t>INV207</t>
  </si>
  <si>
    <t>Eric Larson</t>
  </si>
  <si>
    <t>06/06/2025</t>
  </si>
  <si>
    <t>INV208</t>
  </si>
  <si>
    <t>Jonathan Vargas</t>
  </si>
  <si>
    <t>INV209</t>
  </si>
  <si>
    <t>Donna Koch</t>
  </si>
  <si>
    <t>INV210</t>
  </si>
  <si>
    <t>Mark Santiago</t>
  </si>
  <si>
    <t>INV211</t>
  </si>
  <si>
    <t>Robert Diaz</t>
  </si>
  <si>
    <t>INV212</t>
  </si>
  <si>
    <t>John Wright</t>
  </si>
  <si>
    <t>INV213</t>
  </si>
  <si>
    <t>David Blair</t>
  </si>
  <si>
    <t>INV214</t>
  </si>
  <si>
    <t>John Thornton</t>
  </si>
  <si>
    <t>INV215</t>
  </si>
  <si>
    <t>Erin Jennings</t>
  </si>
  <si>
    <t>INV216</t>
  </si>
  <si>
    <t>Brianna Romero</t>
  </si>
  <si>
    <t>INV217</t>
  </si>
  <si>
    <t>INV218</t>
  </si>
  <si>
    <t>Fernando Pugh</t>
  </si>
  <si>
    <t>20-06-2025</t>
  </si>
  <si>
    <t>INV219</t>
  </si>
  <si>
    <t>Richard Bolton</t>
  </si>
  <si>
    <t>INV220</t>
  </si>
  <si>
    <t>Jordan Tanner</t>
  </si>
  <si>
    <t>INV221</t>
  </si>
  <si>
    <t>Donna Lee</t>
  </si>
  <si>
    <t>878.0</t>
  </si>
  <si>
    <t>11/06/2025</t>
  </si>
  <si>
    <t>INV222</t>
  </si>
  <si>
    <t>John Odom</t>
  </si>
  <si>
    <t>INV223</t>
  </si>
  <si>
    <t>Noah Moody</t>
  </si>
  <si>
    <t>INV224</t>
  </si>
  <si>
    <t>Micheal Rivera</t>
  </si>
  <si>
    <t>INV225</t>
  </si>
  <si>
    <t>Amanda Johnson</t>
  </si>
  <si>
    <t>INV226</t>
  </si>
  <si>
    <t>Tonya Clark</t>
  </si>
  <si>
    <t>INV227</t>
  </si>
  <si>
    <t>David Webb</t>
  </si>
  <si>
    <t>697.0</t>
  </si>
  <si>
    <t>INV228</t>
  </si>
  <si>
    <t>Amy Oliver</t>
  </si>
  <si>
    <t>INV229</t>
  </si>
  <si>
    <t>Angel Scott</t>
  </si>
  <si>
    <t>INV230</t>
  </si>
  <si>
    <t>INV231</t>
  </si>
  <si>
    <t>Kyle Chapman</t>
  </si>
  <si>
    <t>2025/06/09</t>
  </si>
  <si>
    <t>INV232</t>
  </si>
  <si>
    <t>Hector Park</t>
  </si>
  <si>
    <t>INV233</t>
  </si>
  <si>
    <t>Sean Hopkins</t>
  </si>
  <si>
    <t>INV234</t>
  </si>
  <si>
    <t>Amy Hart</t>
  </si>
  <si>
    <t>INV235</t>
  </si>
  <si>
    <t>Heather Chavez</t>
  </si>
  <si>
    <t>INV236</t>
  </si>
  <si>
    <t>Elizabeth Harmon</t>
  </si>
  <si>
    <t>INV237</t>
  </si>
  <si>
    <t>Annette Patterson</t>
  </si>
  <si>
    <t>INV238</t>
  </si>
  <si>
    <t>Chad Cisneros</t>
  </si>
  <si>
    <t>INV239</t>
  </si>
  <si>
    <t>Tracy Cunningham</t>
  </si>
  <si>
    <t>INV240</t>
  </si>
  <si>
    <t>Morgan Myers</t>
  </si>
  <si>
    <t>INV241</t>
  </si>
  <si>
    <t>Darrell Kennedy</t>
  </si>
  <si>
    <t>INV242</t>
  </si>
  <si>
    <t>Christine Hammond</t>
  </si>
  <si>
    <t>INV243</t>
  </si>
  <si>
    <t>INV244</t>
  </si>
  <si>
    <t>Carol Watson</t>
  </si>
  <si>
    <t>INV245</t>
  </si>
  <si>
    <t>Jonathan Lee</t>
  </si>
  <si>
    <t>Amber Morrison</t>
  </si>
  <si>
    <t>Mary Carlson</t>
  </si>
  <si>
    <t>Tyler Harvey</t>
  </si>
  <si>
    <t>Joe Simpson</t>
  </si>
  <si>
    <t>Chase Hall</t>
  </si>
  <si>
    <t>Tyrone Soto</t>
  </si>
  <si>
    <t>April Flores</t>
  </si>
  <si>
    <t>Sarah Castillo</t>
  </si>
  <si>
    <t>Cole Singleton</t>
  </si>
  <si>
    <t xml:space="preserve">lagos </t>
  </si>
  <si>
    <t>POS</t>
  </si>
  <si>
    <t>8</t>
  </si>
  <si>
    <t>transfr</t>
  </si>
  <si>
    <t xml:space="preserve">  Amber Morrison  </t>
  </si>
  <si>
    <t>5</t>
  </si>
  <si>
    <t>Dr. Zachary Alvarez MD</t>
  </si>
  <si>
    <t xml:space="preserve">  Mary Carlson  </t>
  </si>
  <si>
    <t xml:space="preserve">  Tyler Harvey  </t>
  </si>
  <si>
    <t>M</t>
  </si>
  <si>
    <t>Melissa Clarke DVM</t>
  </si>
  <si>
    <t>pos</t>
  </si>
  <si>
    <t>bank transfer</t>
  </si>
  <si>
    <t>male</t>
  </si>
  <si>
    <t xml:space="preserve">  Joe Simpson  </t>
  </si>
  <si>
    <t>3</t>
  </si>
  <si>
    <t xml:space="preserve">  Chase Hall  </t>
  </si>
  <si>
    <t xml:space="preserve">  Tyrone Soto  </t>
  </si>
  <si>
    <t>Mr. Christopher Williams MD</t>
  </si>
  <si>
    <t>Nathan Smith DDS</t>
  </si>
  <si>
    <t>4</t>
  </si>
  <si>
    <t>ibadan</t>
  </si>
  <si>
    <t>Dr. Evelyn Reed DDS</t>
  </si>
  <si>
    <t xml:space="preserve">  April Flores  </t>
  </si>
  <si>
    <t xml:space="preserve">  Sarah Castillo  </t>
  </si>
  <si>
    <t>F</t>
  </si>
  <si>
    <t>Kim Berger MD</t>
  </si>
  <si>
    <t xml:space="preserve">  Cole Singleton  </t>
  </si>
  <si>
    <t>Michael Alvarado</t>
  </si>
  <si>
    <t xml:space="preserve">  David Blair  </t>
  </si>
  <si>
    <t>624.0</t>
  </si>
  <si>
    <t>Nill</t>
  </si>
  <si>
    <t>Row Labels</t>
  </si>
  <si>
    <t>Grand Total</t>
  </si>
  <si>
    <t>Sum of Total_Amount</t>
  </si>
  <si>
    <t>Sum of Quantity</t>
  </si>
  <si>
    <t>Count of Invoice_ID</t>
  </si>
  <si>
    <t>AVT</t>
  </si>
  <si>
    <t>Bank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</si>
</sst>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m/d/yy;@"/>
    <numFmt numFmtId="166" formatCode="&quot;$&quot;#,##0.00"/>
    <numFmt numFmtId="167" formatCode="&quot;$&quot;#,##0"/>
  </numFmts>
  <fonts count="4" x14ac:knownFonts="1">
    <font>
      <sz val="11"/>
      <color theme="1"/>
      <name val="Calibri"/>
      <family val="2"/>
      <scheme val="minor"/>
    </font>
    <font>
      <b/>
      <sz val="11"/>
      <color theme="1"/>
      <name val="Calibri"/>
      <family val="2"/>
      <scheme val="minor"/>
    </font>
    <font>
      <sz val="11"/>
      <color rgb="FF92D050"/>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applyAlignment="1">
      <alignment horizontal="left"/>
    </xf>
    <xf numFmtId="0" fontId="2" fillId="2" borderId="0" xfId="0" applyFont="1" applyFill="1"/>
    <xf numFmtId="0" fontId="0" fillId="2" borderId="0" xfId="0" applyFill="1"/>
    <xf numFmtId="166" fontId="0" fillId="0" borderId="0" xfId="0" pivotButton="1" applyNumberFormat="1"/>
    <xf numFmtId="166" fontId="0" fillId="0" borderId="0" xfId="0" applyNumberFormat="1"/>
    <xf numFmtId="166" fontId="0" fillId="0" borderId="0" xfId="0" applyNumberFormat="1" applyAlignment="1">
      <alignment horizontal="left"/>
    </xf>
    <xf numFmtId="167" fontId="0" fillId="0" borderId="0" xfId="0" pivotButton="1" applyNumberFormat="1"/>
    <xf numFmtId="167" fontId="0" fillId="0" borderId="0" xfId="0" applyNumberFormat="1"/>
    <xf numFmtId="167" fontId="0" fillId="0" borderId="0" xfId="0" applyNumberFormat="1" applyAlignment="1">
      <alignment horizontal="left"/>
    </xf>
    <xf numFmtId="1" fontId="0" fillId="0" borderId="0" xfId="0" applyNumberFormat="1"/>
    <xf numFmtId="1" fontId="0" fillId="0" borderId="0" xfId="0" pivotButton="1" applyNumberFormat="1"/>
    <xf numFmtId="1" fontId="0" fillId="0" borderId="0" xfId="0" applyNumberFormat="1" applyAlignment="1">
      <alignment horizontal="left"/>
    </xf>
    <xf numFmtId="0" fontId="3" fillId="0" borderId="0" xfId="1"/>
    <xf numFmtId="0" fontId="0" fillId="0" borderId="0" xfId="0" applyNumberFormat="1"/>
  </cellXfs>
  <cellStyles count="2">
    <cellStyle name="Hyperlink" xfId="1" builtinId="8"/>
    <cellStyle name="Normal" xfId="0" builtinId="0"/>
  </cellStyles>
  <dxfs count="1233">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 formatCode="0"/>
    </dxf>
    <dxf>
      <numFmt numFmtId="1" formatCode="0"/>
    </dxf>
    <dxf>
      <numFmt numFmtId="1" formatCode="0"/>
    </dxf>
    <dxf>
      <numFmt numFmtId="1" formatCode="0"/>
    </dxf>
    <dxf>
      <numFmt numFmtId="1" formatCode="0"/>
    </dxf>
    <dxf>
      <numFmt numFmtId="1" formatCode="0"/>
    </dxf>
    <dxf>
      <numFmt numFmtId="165" formatCode="m/d/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font>
        <b/>
        <color theme="1"/>
      </font>
      <border>
        <bottom style="thin">
          <color theme="9"/>
        </bottom>
        <vertical/>
        <horizontal/>
      </border>
    </dxf>
    <dxf>
      <font>
        <color theme="1"/>
      </font>
      <fill>
        <patternFill>
          <fgColor rgb="FF80C535"/>
          <bgColor theme="0" tint="-4.9989318521683403E-2"/>
        </patternFill>
      </fill>
      <border diagonalUp="0" diagonalDown="0">
        <left/>
        <right/>
        <top/>
        <bottom/>
        <vertical/>
        <horizontal/>
      </border>
    </dxf>
    <dxf>
      <fill>
        <patternFill>
          <bgColor rgb="FF00B050"/>
        </patternFill>
      </fill>
    </dxf>
    <dxf>
      <font>
        <color theme="1"/>
      </font>
    </dxf>
    <dxf>
      <font>
        <color rgb="FF80C535"/>
      </font>
    </dxf>
  </dxfs>
  <tableStyles count="7" defaultTableStyle="TableStyleMedium2" defaultPivotStyle="PivotStyleLight16">
    <tableStyle name="Slicer Style 1" pivot="0" table="0" count="1" xr9:uid="{359407B0-FF0C-46BE-B611-C965B12C4612}">
      <tableStyleElement type="wholeTable" dxfId="1232"/>
    </tableStyle>
    <tableStyle name="Slicer Style 2" pivot="0" table="0" count="1" xr9:uid="{50390079-1613-466E-955A-1AD3227B9F8F}"/>
    <tableStyle name="Slicer Style 3" pivot="0" table="0" count="1" xr9:uid="{9106407C-890A-455A-AC9C-84C958B575BA}"/>
    <tableStyle name="Slicer Style 4" pivot="0" table="0" count="1" xr9:uid="{0AF42AC8-22E2-48E1-9566-AE4478EB89C3}">
      <tableStyleElement type="headerRow" dxfId="1231"/>
    </tableStyle>
    <tableStyle name="Slicer Style 5" pivot="0" table="0" count="1" xr9:uid="{110E989E-8B92-455E-9755-6953199CCD73}">
      <tableStyleElement type="wholeTable" dxfId="1230"/>
    </tableStyle>
    <tableStyle name="Slicer Style 6" pivot="0" table="0" count="1" xr9:uid="{1678F767-FC42-4CE4-A7CA-ED7122A14A08}"/>
    <tableStyle name="SlicerStyleDark6 2" pivot="0" table="0" count="10" xr9:uid="{9C07C6EC-0E2E-408B-8BAE-F904459AF633}">
      <tableStyleElement type="wholeTable" dxfId="1229"/>
      <tableStyleElement type="headerRow" dxfId="1228"/>
    </tableStyle>
  </tableStyles>
  <colors>
    <mruColors>
      <color rgb="FF80C535"/>
      <color rgb="FF99CC00"/>
    </mruColors>
  </colors>
  <extLst>
    <ext xmlns:x14="http://schemas.microsoft.com/office/spreadsheetml/2009/9/main" uri="{46F421CA-312F-682f-3DD2-61675219B42D}">
      <x14:dxfs count="11">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font>
          <fill>
            <patternFill patternType="solid">
              <fgColor theme="9"/>
              <bgColor rgb="FF99CC0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00B05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00B050"/>
            </patternFill>
          </fill>
          <border>
            <left style="thin">
              <color rgb="FFC0C0C0"/>
            </left>
            <right style="thin">
              <color rgb="FFC0C0C0"/>
            </right>
            <top style="thin">
              <color rgb="FFC0C0C0"/>
            </top>
            <bottom style="thin">
              <color rgb="FFC0C0C0"/>
            </bottom>
            <vertical/>
            <horizontal/>
          </border>
        </dxf>
        <dxf>
          <font>
            <b/>
            <i val="0"/>
            <sz val="12"/>
          </font>
        </dxf>
        <dxf>
          <font>
            <u/>
            <color theme="1"/>
            <name val="Calibri"/>
            <family val="2"/>
            <scheme val="minor"/>
          </font>
        </dxf>
        <dxf>
          <font>
            <color rgb="FF80C535"/>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0"/>
          </x14:slicerStyleElements>
        </x14:slicerStyle>
        <x14:slicerStyle name="Slicer Style 3">
          <x14:slicerStyleElements>
            <x14:slicerStyleElement type="selectedItemWithData" dxfId="9"/>
          </x14:slicerStyleElements>
        </x14:slicerStyle>
        <x14:slicerStyle name="Slicer Style 4"/>
        <x14:slicerStyle name="Slicer Style 5"/>
        <x14:slicerStyle name="Slicer Style 6">
          <x14:slicerStyleElements>
            <x14:slicerStyleElement type="selectedItemWith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Quantity</a:t>
            </a:r>
            <a:r>
              <a:rPr lang="en-US" b="1" baseline="0">
                <a:solidFill>
                  <a:schemeClr val="tx1">
                    <a:lumMod val="95000"/>
                    <a:lumOff val="5000"/>
                  </a:schemeClr>
                </a:solidFill>
              </a:rPr>
              <a:t> Sold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rgbClr val="80C535"/>
            </a:solidFill>
            <a:ln>
              <a:noFill/>
            </a:ln>
            <a:effectLst/>
          </c:spPr>
          <c:invertIfNegative val="0"/>
          <c:cat>
            <c:strRef>
              <c:f>Sheet4!$A$4:$A$8</c:f>
              <c:strCache>
                <c:ptCount val="4"/>
                <c:pt idx="0">
                  <c:v>Beverages</c:v>
                </c:pt>
                <c:pt idx="1">
                  <c:v>Household</c:v>
                </c:pt>
                <c:pt idx="2">
                  <c:v>Personal Care</c:v>
                </c:pt>
                <c:pt idx="3">
                  <c:v>Snacks</c:v>
                </c:pt>
              </c:strCache>
            </c:strRef>
          </c:cat>
          <c:val>
            <c:numRef>
              <c:f>Sheet4!$B$4:$B$8</c:f>
              <c:numCache>
                <c:formatCode>0</c:formatCode>
                <c:ptCount val="4"/>
                <c:pt idx="0">
                  <c:v>380</c:v>
                </c:pt>
                <c:pt idx="1">
                  <c:v>519</c:v>
                </c:pt>
                <c:pt idx="2">
                  <c:v>292</c:v>
                </c:pt>
                <c:pt idx="3">
                  <c:v>475</c:v>
                </c:pt>
              </c:numCache>
            </c:numRef>
          </c:val>
          <c:extLst>
            <c:ext xmlns:c16="http://schemas.microsoft.com/office/drawing/2014/chart" uri="{C3380CC4-5D6E-409C-BE32-E72D297353CC}">
              <c16:uniqueId val="{00000000-3F85-4DFF-9BFE-237C971D4B74}"/>
            </c:ext>
          </c:extLst>
        </c:ser>
        <c:dLbls>
          <c:showLegendKey val="0"/>
          <c:showVal val="0"/>
          <c:showCatName val="0"/>
          <c:showSerName val="0"/>
          <c:showPercent val="0"/>
          <c:showBubbleSize val="0"/>
        </c:dLbls>
        <c:gapWidth val="150"/>
        <c:overlap val="100"/>
        <c:axId val="2078619887"/>
        <c:axId val="2078621327"/>
      </c:barChart>
      <c:catAx>
        <c:axId val="207861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621327"/>
        <c:crosses val="autoZero"/>
        <c:auto val="1"/>
        <c:lblAlgn val="ctr"/>
        <c:lblOffset val="100"/>
        <c:noMultiLvlLbl val="0"/>
      </c:catAx>
      <c:valAx>
        <c:axId val="20786213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61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dataset.xlsx]Sheet6!PivotTable1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rgbClr val="80C535"/>
            </a:solidFill>
            <a:ln>
              <a:noFill/>
            </a:ln>
            <a:effectLst/>
          </c:spPr>
          <c:invertIfNegative val="0"/>
          <c:cat>
            <c:strRef>
              <c:f>Sheet6!$A$4:$A$11</c:f>
              <c:strCache>
                <c:ptCount val="7"/>
                <c:pt idx="0">
                  <c:v>Abuja</c:v>
                </c:pt>
                <c:pt idx="1">
                  <c:v>Benin City</c:v>
                </c:pt>
                <c:pt idx="2">
                  <c:v>Ibadan</c:v>
                </c:pt>
                <c:pt idx="3">
                  <c:v>Kano</c:v>
                </c:pt>
                <c:pt idx="4">
                  <c:v>Lagos</c:v>
                </c:pt>
                <c:pt idx="5">
                  <c:v>Nill</c:v>
                </c:pt>
                <c:pt idx="6">
                  <c:v>Port Harcourt</c:v>
                </c:pt>
              </c:strCache>
            </c:strRef>
          </c:cat>
          <c:val>
            <c:numRef>
              <c:f>Sheet6!$B$4:$B$11</c:f>
              <c:numCache>
                <c:formatCode>General</c:formatCode>
                <c:ptCount val="7"/>
                <c:pt idx="0">
                  <c:v>128857</c:v>
                </c:pt>
                <c:pt idx="1">
                  <c:v>134039</c:v>
                </c:pt>
                <c:pt idx="2">
                  <c:v>90251</c:v>
                </c:pt>
                <c:pt idx="3">
                  <c:v>111726</c:v>
                </c:pt>
                <c:pt idx="4">
                  <c:v>109034</c:v>
                </c:pt>
                <c:pt idx="5">
                  <c:v>23658</c:v>
                </c:pt>
                <c:pt idx="6">
                  <c:v>149965</c:v>
                </c:pt>
              </c:numCache>
            </c:numRef>
          </c:val>
          <c:extLst>
            <c:ext xmlns:c16="http://schemas.microsoft.com/office/drawing/2014/chart" uri="{C3380CC4-5D6E-409C-BE32-E72D297353CC}">
              <c16:uniqueId val="{00000000-7575-4E19-A92F-9B5D149C7620}"/>
            </c:ext>
          </c:extLst>
        </c:ser>
        <c:dLbls>
          <c:showLegendKey val="0"/>
          <c:showVal val="0"/>
          <c:showCatName val="0"/>
          <c:showSerName val="0"/>
          <c:showPercent val="0"/>
          <c:showBubbleSize val="0"/>
        </c:dLbls>
        <c:gapWidth val="150"/>
        <c:overlap val="100"/>
        <c:axId val="2078569487"/>
        <c:axId val="2078573807"/>
      </c:barChart>
      <c:catAx>
        <c:axId val="207856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73807"/>
        <c:crosses val="autoZero"/>
        <c:auto val="1"/>
        <c:lblAlgn val="ctr"/>
        <c:lblOffset val="100"/>
        <c:noMultiLvlLbl val="0"/>
      </c:catAx>
      <c:valAx>
        <c:axId val="207857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dataset.xlsx]Sheet7!PivotTable1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Inovice</a:t>
            </a:r>
            <a:r>
              <a:rPr lang="en-US" b="1" baseline="0">
                <a:solidFill>
                  <a:schemeClr val="tx1">
                    <a:lumMod val="95000"/>
                    <a:lumOff val="5000"/>
                  </a:schemeClr>
                </a:solidFill>
              </a:rPr>
              <a:t> Volume by Prod Category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92D050"/>
            </a:solidFill>
            <a:ln>
              <a:noFill/>
            </a:ln>
            <a:effectLst/>
          </c:spPr>
          <c:invertIfNegative val="0"/>
          <c:cat>
            <c:strRef>
              <c:f>Sheet7!$A$4:$A$8</c:f>
              <c:strCache>
                <c:ptCount val="4"/>
                <c:pt idx="0">
                  <c:v>Beverages</c:v>
                </c:pt>
                <c:pt idx="1">
                  <c:v>Household</c:v>
                </c:pt>
                <c:pt idx="2">
                  <c:v>Personal Care</c:v>
                </c:pt>
                <c:pt idx="3">
                  <c:v>Snacks</c:v>
                </c:pt>
              </c:strCache>
            </c:strRef>
          </c:cat>
          <c:val>
            <c:numRef>
              <c:f>Sheet7!$B$4:$B$8</c:f>
              <c:numCache>
                <c:formatCode>General</c:formatCode>
                <c:ptCount val="4"/>
                <c:pt idx="0">
                  <c:v>63</c:v>
                </c:pt>
                <c:pt idx="1">
                  <c:v>68</c:v>
                </c:pt>
                <c:pt idx="2">
                  <c:v>52</c:v>
                </c:pt>
                <c:pt idx="3">
                  <c:v>62</c:v>
                </c:pt>
              </c:numCache>
            </c:numRef>
          </c:val>
          <c:extLst>
            <c:ext xmlns:c16="http://schemas.microsoft.com/office/drawing/2014/chart" uri="{C3380CC4-5D6E-409C-BE32-E72D297353CC}">
              <c16:uniqueId val="{00000000-DD28-4511-AA93-ED20B966FA59}"/>
            </c:ext>
          </c:extLst>
        </c:ser>
        <c:dLbls>
          <c:showLegendKey val="0"/>
          <c:showVal val="0"/>
          <c:showCatName val="0"/>
          <c:showSerName val="0"/>
          <c:showPercent val="0"/>
          <c:showBubbleSize val="0"/>
        </c:dLbls>
        <c:gapWidth val="182"/>
        <c:axId val="2078586287"/>
        <c:axId val="2078590127"/>
      </c:barChart>
      <c:catAx>
        <c:axId val="207858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90127"/>
        <c:crosses val="autoZero"/>
        <c:auto val="1"/>
        <c:lblAlgn val="ctr"/>
        <c:lblOffset val="100"/>
        <c:noMultiLvlLbl val="0"/>
      </c:catAx>
      <c:valAx>
        <c:axId val="207859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8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dataset.xlsx]Sheet8!PivotTable1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61D0-400A-9840-2772652FF52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61D0-400A-9840-2772652FF5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40-4673-9276-DA5BBC345DDA}"/>
              </c:ext>
            </c:extLst>
          </c:dPt>
          <c:cat>
            <c:strRef>
              <c:f>Sheet8!$A$4:$A$7</c:f>
              <c:strCache>
                <c:ptCount val="3"/>
                <c:pt idx="0">
                  <c:v>Female</c:v>
                </c:pt>
                <c:pt idx="1">
                  <c:v>Male</c:v>
                </c:pt>
                <c:pt idx="2">
                  <c:v>Nill</c:v>
                </c:pt>
              </c:strCache>
            </c:strRef>
          </c:cat>
          <c:val>
            <c:numRef>
              <c:f>Sheet8!$B$4:$B$7</c:f>
              <c:numCache>
                <c:formatCode>General</c:formatCode>
                <c:ptCount val="3"/>
                <c:pt idx="0">
                  <c:v>381759</c:v>
                </c:pt>
                <c:pt idx="1">
                  <c:v>362762</c:v>
                </c:pt>
                <c:pt idx="2">
                  <c:v>3009</c:v>
                </c:pt>
              </c:numCache>
            </c:numRef>
          </c:val>
          <c:extLst>
            <c:ext xmlns:c16="http://schemas.microsoft.com/office/drawing/2014/chart" uri="{C3380CC4-5D6E-409C-BE32-E72D297353CC}">
              <c16:uniqueId val="{00000000-61D0-400A-9840-2772652FF5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Scale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circle"/>
          <c:size val="3"/>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circle"/>
          <c:size val="3"/>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920384951881"/>
          <c:y val="0.13930555555555557"/>
          <c:w val="0.85796456692913381"/>
          <c:h val="0.63839238845144353"/>
        </c:manualLayout>
      </c:layout>
      <c:lineChart>
        <c:grouping val="standard"/>
        <c:varyColors val="0"/>
        <c:ser>
          <c:idx val="0"/>
          <c:order val="0"/>
          <c:tx>
            <c:strRef>
              <c:f>Sheet9!$B$3</c:f>
              <c:strCache>
                <c:ptCount val="1"/>
                <c:pt idx="0">
                  <c:v>Total</c:v>
                </c:pt>
              </c:strCache>
            </c:strRef>
          </c:tx>
          <c:spPr>
            <a:ln w="28575" cap="rnd">
              <a:solidFill>
                <a:srgbClr val="92D050"/>
              </a:solidFill>
              <a:round/>
            </a:ln>
            <a:effectLst/>
          </c:spPr>
          <c:marker>
            <c:symbol val="circle"/>
            <c:size val="3"/>
            <c:spPr>
              <a:solidFill>
                <a:schemeClr val="accent1"/>
              </a:solidFill>
              <a:ln w="9525">
                <a:solidFill>
                  <a:srgbClr val="00B050"/>
                </a:solidFill>
              </a:ln>
              <a:effectLst/>
            </c:spPr>
          </c:marker>
          <c:cat>
            <c:strRef>
              <c:f>Sheet9!$A$4:$A$40</c:f>
              <c:strCache>
                <c:ptCount val="36"/>
                <c:pt idx="0">
                  <c:v>1/7/25</c:v>
                </c:pt>
                <c:pt idx="1">
                  <c:v>2/7/25</c:v>
                </c:pt>
                <c:pt idx="2">
                  <c:v>3/6/25</c:v>
                </c:pt>
                <c:pt idx="3">
                  <c:v>4/6/25</c:v>
                </c:pt>
                <c:pt idx="4">
                  <c:v>5/6/25</c:v>
                </c:pt>
                <c:pt idx="5">
                  <c:v>6/5/25</c:v>
                </c:pt>
                <c:pt idx="6">
                  <c:v>6/6/25</c:v>
                </c:pt>
                <c:pt idx="7">
                  <c:v>6/7/25</c:v>
                </c:pt>
                <c:pt idx="8">
                  <c:v>6/9/25</c:v>
                </c:pt>
                <c:pt idx="9">
                  <c:v>6/10/25</c:v>
                </c:pt>
                <c:pt idx="10">
                  <c:v>6/11/25</c:v>
                </c:pt>
                <c:pt idx="11">
                  <c:v>6/12/25</c:v>
                </c:pt>
                <c:pt idx="12">
                  <c:v>6/13/25</c:v>
                </c:pt>
                <c:pt idx="13">
                  <c:v>6/14/25</c:v>
                </c:pt>
                <c:pt idx="14">
                  <c:v>6/15/25</c:v>
                </c:pt>
                <c:pt idx="15">
                  <c:v>6/16/25</c:v>
                </c:pt>
                <c:pt idx="16">
                  <c:v>6/17/25</c:v>
                </c:pt>
                <c:pt idx="17">
                  <c:v>6/18/25</c:v>
                </c:pt>
                <c:pt idx="18">
                  <c:v>6/19/25</c:v>
                </c:pt>
                <c:pt idx="19">
                  <c:v>6/20/25</c:v>
                </c:pt>
                <c:pt idx="20">
                  <c:v>6/21/25</c:v>
                </c:pt>
                <c:pt idx="21">
                  <c:v>6/22/25</c:v>
                </c:pt>
                <c:pt idx="22">
                  <c:v>6/23/25</c:v>
                </c:pt>
                <c:pt idx="23">
                  <c:v>6/24/25</c:v>
                </c:pt>
                <c:pt idx="24">
                  <c:v>6/25/25</c:v>
                </c:pt>
                <c:pt idx="25">
                  <c:v>6/26/25</c:v>
                </c:pt>
                <c:pt idx="26">
                  <c:v>6/27/25</c:v>
                </c:pt>
                <c:pt idx="27">
                  <c:v>6/28/25</c:v>
                </c:pt>
                <c:pt idx="28">
                  <c:v>6/29/25</c:v>
                </c:pt>
                <c:pt idx="29">
                  <c:v>6/30/25</c:v>
                </c:pt>
                <c:pt idx="30">
                  <c:v>7/6/25</c:v>
                </c:pt>
                <c:pt idx="31">
                  <c:v>8/6/25</c:v>
                </c:pt>
                <c:pt idx="32">
                  <c:v>9/6/25</c:v>
                </c:pt>
                <c:pt idx="33">
                  <c:v>10/6/25</c:v>
                </c:pt>
                <c:pt idx="34">
                  <c:v>11/6/25</c:v>
                </c:pt>
                <c:pt idx="35">
                  <c:v>12/6/25</c:v>
                </c:pt>
              </c:strCache>
            </c:strRef>
          </c:cat>
          <c:val>
            <c:numRef>
              <c:f>Sheet9!$B$4:$B$40</c:f>
              <c:numCache>
                <c:formatCode>General</c:formatCode>
                <c:ptCount val="36"/>
                <c:pt idx="0">
                  <c:v>22671</c:v>
                </c:pt>
                <c:pt idx="1">
                  <c:v>30041</c:v>
                </c:pt>
                <c:pt idx="2">
                  <c:v>41184</c:v>
                </c:pt>
                <c:pt idx="3">
                  <c:v>29447</c:v>
                </c:pt>
                <c:pt idx="4">
                  <c:v>7736</c:v>
                </c:pt>
                <c:pt idx="5">
                  <c:v>5936</c:v>
                </c:pt>
                <c:pt idx="6">
                  <c:v>24342</c:v>
                </c:pt>
                <c:pt idx="7">
                  <c:v>4440</c:v>
                </c:pt>
                <c:pt idx="8">
                  <c:v>1616</c:v>
                </c:pt>
                <c:pt idx="9">
                  <c:v>628</c:v>
                </c:pt>
                <c:pt idx="10">
                  <c:v>4390</c:v>
                </c:pt>
                <c:pt idx="11">
                  <c:v>6512</c:v>
                </c:pt>
                <c:pt idx="12">
                  <c:v>22395</c:v>
                </c:pt>
                <c:pt idx="13">
                  <c:v>18613</c:v>
                </c:pt>
                <c:pt idx="14">
                  <c:v>26474</c:v>
                </c:pt>
                <c:pt idx="15">
                  <c:v>17562</c:v>
                </c:pt>
                <c:pt idx="16">
                  <c:v>17662</c:v>
                </c:pt>
                <c:pt idx="17">
                  <c:v>36732</c:v>
                </c:pt>
                <c:pt idx="18">
                  <c:v>20264</c:v>
                </c:pt>
                <c:pt idx="19">
                  <c:v>33532</c:v>
                </c:pt>
                <c:pt idx="20">
                  <c:v>25985</c:v>
                </c:pt>
                <c:pt idx="21">
                  <c:v>43169</c:v>
                </c:pt>
                <c:pt idx="22">
                  <c:v>38124</c:v>
                </c:pt>
                <c:pt idx="23">
                  <c:v>15468</c:v>
                </c:pt>
                <c:pt idx="24">
                  <c:v>30477</c:v>
                </c:pt>
                <c:pt idx="25">
                  <c:v>18088</c:v>
                </c:pt>
                <c:pt idx="26">
                  <c:v>35438</c:v>
                </c:pt>
                <c:pt idx="27">
                  <c:v>27086</c:v>
                </c:pt>
                <c:pt idx="28">
                  <c:v>27165</c:v>
                </c:pt>
                <c:pt idx="29">
                  <c:v>11606</c:v>
                </c:pt>
                <c:pt idx="30">
                  <c:v>23314</c:v>
                </c:pt>
                <c:pt idx="31">
                  <c:v>26230</c:v>
                </c:pt>
                <c:pt idx="32">
                  <c:v>4619</c:v>
                </c:pt>
                <c:pt idx="33">
                  <c:v>17163</c:v>
                </c:pt>
                <c:pt idx="34">
                  <c:v>24121</c:v>
                </c:pt>
                <c:pt idx="35">
                  <c:v>7300</c:v>
                </c:pt>
              </c:numCache>
            </c:numRef>
          </c:val>
          <c:smooth val="0"/>
          <c:extLst>
            <c:ext xmlns:c16="http://schemas.microsoft.com/office/drawing/2014/chart" uri="{C3380CC4-5D6E-409C-BE32-E72D297353CC}">
              <c16:uniqueId val="{00000000-562B-4900-92E0-1141795713A6}"/>
            </c:ext>
          </c:extLst>
        </c:ser>
        <c:dLbls>
          <c:showLegendKey val="0"/>
          <c:showVal val="0"/>
          <c:showCatName val="0"/>
          <c:showSerName val="0"/>
          <c:showPercent val="0"/>
          <c:showBubbleSize val="0"/>
        </c:dLbls>
        <c:marker val="1"/>
        <c:smooth val="0"/>
        <c:axId val="1838195455"/>
        <c:axId val="1838166655"/>
      </c:lineChart>
      <c:catAx>
        <c:axId val="1838195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8166655"/>
        <c:crosses val="autoZero"/>
        <c:auto val="1"/>
        <c:lblAlgn val="ctr"/>
        <c:lblOffset val="100"/>
        <c:noMultiLvlLbl val="0"/>
      </c:catAx>
      <c:valAx>
        <c:axId val="1838166655"/>
        <c:scaling>
          <c:orientation val="minMax"/>
        </c:scaling>
        <c:delete val="1"/>
        <c:axPos val="l"/>
        <c:numFmt formatCode="General" sourceLinked="1"/>
        <c:majorTickMark val="none"/>
        <c:minorTickMark val="none"/>
        <c:tickLblPos val="nextTo"/>
        <c:crossAx val="18381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dataset.xlsx]Sheet9!PivotTable1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Daily</a:t>
            </a:r>
            <a:r>
              <a:rPr lang="en-US" b="1" baseline="0">
                <a:solidFill>
                  <a:schemeClr val="tx1">
                    <a:lumMod val="95000"/>
                    <a:lumOff val="5000"/>
                  </a:schemeClr>
                </a:solidFill>
              </a:rPr>
              <a:t> Scale Trend</a:t>
            </a:r>
            <a:endParaRPr lang="en-US" b="1">
              <a:solidFill>
                <a:schemeClr val="tx1">
                  <a:lumMod val="95000"/>
                  <a:lumOff val="5000"/>
                </a:schemeClr>
              </a:solidFill>
            </a:endParaRPr>
          </a:p>
        </c:rich>
      </c:tx>
      <c:layout>
        <c:manualLayout>
          <c:xMode val="edge"/>
          <c:yMode val="edge"/>
          <c:x val="0.3780389686226116"/>
          <c:y val="1.7445486289496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circle"/>
          <c:size val="3"/>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3"/>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CC00"/>
            </a:solidFill>
            <a:round/>
          </a:ln>
          <a:effectLst/>
        </c:spPr>
        <c:marker>
          <c:symbol val="circle"/>
          <c:size val="3"/>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4290543454193"/>
          <c:y val="8.9860927766769461E-2"/>
          <c:w val="0.85796456692913381"/>
          <c:h val="0.63839238845144353"/>
        </c:manualLayout>
      </c:layout>
      <c:lineChart>
        <c:grouping val="standard"/>
        <c:varyColors val="0"/>
        <c:ser>
          <c:idx val="0"/>
          <c:order val="0"/>
          <c:tx>
            <c:strRef>
              <c:f>Sheet9!$B$3</c:f>
              <c:strCache>
                <c:ptCount val="1"/>
                <c:pt idx="0">
                  <c:v>Total</c:v>
                </c:pt>
              </c:strCache>
            </c:strRef>
          </c:tx>
          <c:spPr>
            <a:ln w="28575" cap="rnd">
              <a:solidFill>
                <a:srgbClr val="99CC00"/>
              </a:solidFill>
              <a:round/>
            </a:ln>
            <a:effectLst/>
          </c:spPr>
          <c:marker>
            <c:symbol val="circle"/>
            <c:size val="3"/>
            <c:spPr>
              <a:solidFill>
                <a:schemeClr val="accent1"/>
              </a:solidFill>
              <a:ln w="9525">
                <a:solidFill>
                  <a:srgbClr val="00B050"/>
                </a:solidFill>
              </a:ln>
              <a:effectLst/>
            </c:spPr>
          </c:marker>
          <c:cat>
            <c:strRef>
              <c:f>Sheet9!$A$4:$A$40</c:f>
              <c:strCache>
                <c:ptCount val="36"/>
                <c:pt idx="0">
                  <c:v>1/7/25</c:v>
                </c:pt>
                <c:pt idx="1">
                  <c:v>2/7/25</c:v>
                </c:pt>
                <c:pt idx="2">
                  <c:v>3/6/25</c:v>
                </c:pt>
                <c:pt idx="3">
                  <c:v>4/6/25</c:v>
                </c:pt>
                <c:pt idx="4">
                  <c:v>5/6/25</c:v>
                </c:pt>
                <c:pt idx="5">
                  <c:v>6/5/25</c:v>
                </c:pt>
                <c:pt idx="6">
                  <c:v>6/6/25</c:v>
                </c:pt>
                <c:pt idx="7">
                  <c:v>6/7/25</c:v>
                </c:pt>
                <c:pt idx="8">
                  <c:v>6/9/25</c:v>
                </c:pt>
                <c:pt idx="9">
                  <c:v>6/10/25</c:v>
                </c:pt>
                <c:pt idx="10">
                  <c:v>6/11/25</c:v>
                </c:pt>
                <c:pt idx="11">
                  <c:v>6/12/25</c:v>
                </c:pt>
                <c:pt idx="12">
                  <c:v>6/13/25</c:v>
                </c:pt>
                <c:pt idx="13">
                  <c:v>6/14/25</c:v>
                </c:pt>
                <c:pt idx="14">
                  <c:v>6/15/25</c:v>
                </c:pt>
                <c:pt idx="15">
                  <c:v>6/16/25</c:v>
                </c:pt>
                <c:pt idx="16">
                  <c:v>6/17/25</c:v>
                </c:pt>
                <c:pt idx="17">
                  <c:v>6/18/25</c:v>
                </c:pt>
                <c:pt idx="18">
                  <c:v>6/19/25</c:v>
                </c:pt>
                <c:pt idx="19">
                  <c:v>6/20/25</c:v>
                </c:pt>
                <c:pt idx="20">
                  <c:v>6/21/25</c:v>
                </c:pt>
                <c:pt idx="21">
                  <c:v>6/22/25</c:v>
                </c:pt>
                <c:pt idx="22">
                  <c:v>6/23/25</c:v>
                </c:pt>
                <c:pt idx="23">
                  <c:v>6/24/25</c:v>
                </c:pt>
                <c:pt idx="24">
                  <c:v>6/25/25</c:v>
                </c:pt>
                <c:pt idx="25">
                  <c:v>6/26/25</c:v>
                </c:pt>
                <c:pt idx="26">
                  <c:v>6/27/25</c:v>
                </c:pt>
                <c:pt idx="27">
                  <c:v>6/28/25</c:v>
                </c:pt>
                <c:pt idx="28">
                  <c:v>6/29/25</c:v>
                </c:pt>
                <c:pt idx="29">
                  <c:v>6/30/25</c:v>
                </c:pt>
                <c:pt idx="30">
                  <c:v>7/6/25</c:v>
                </c:pt>
                <c:pt idx="31">
                  <c:v>8/6/25</c:v>
                </c:pt>
                <c:pt idx="32">
                  <c:v>9/6/25</c:v>
                </c:pt>
                <c:pt idx="33">
                  <c:v>10/6/25</c:v>
                </c:pt>
                <c:pt idx="34">
                  <c:v>11/6/25</c:v>
                </c:pt>
                <c:pt idx="35">
                  <c:v>12/6/25</c:v>
                </c:pt>
              </c:strCache>
            </c:strRef>
          </c:cat>
          <c:val>
            <c:numRef>
              <c:f>Sheet9!$B$4:$B$40</c:f>
              <c:numCache>
                <c:formatCode>General</c:formatCode>
                <c:ptCount val="36"/>
                <c:pt idx="0">
                  <c:v>22671</c:v>
                </c:pt>
                <c:pt idx="1">
                  <c:v>30041</c:v>
                </c:pt>
                <c:pt idx="2">
                  <c:v>41184</c:v>
                </c:pt>
                <c:pt idx="3">
                  <c:v>29447</c:v>
                </c:pt>
                <c:pt idx="4">
                  <c:v>7736</c:v>
                </c:pt>
                <c:pt idx="5">
                  <c:v>5936</c:v>
                </c:pt>
                <c:pt idx="6">
                  <c:v>24342</c:v>
                </c:pt>
                <c:pt idx="7">
                  <c:v>4440</c:v>
                </c:pt>
                <c:pt idx="8">
                  <c:v>1616</c:v>
                </c:pt>
                <c:pt idx="9">
                  <c:v>628</c:v>
                </c:pt>
                <c:pt idx="10">
                  <c:v>4390</c:v>
                </c:pt>
                <c:pt idx="11">
                  <c:v>6512</c:v>
                </c:pt>
                <c:pt idx="12">
                  <c:v>22395</c:v>
                </c:pt>
                <c:pt idx="13">
                  <c:v>18613</c:v>
                </c:pt>
                <c:pt idx="14">
                  <c:v>26474</c:v>
                </c:pt>
                <c:pt idx="15">
                  <c:v>17562</c:v>
                </c:pt>
                <c:pt idx="16">
                  <c:v>17662</c:v>
                </c:pt>
                <c:pt idx="17">
                  <c:v>36732</c:v>
                </c:pt>
                <c:pt idx="18">
                  <c:v>20264</c:v>
                </c:pt>
                <c:pt idx="19">
                  <c:v>33532</c:v>
                </c:pt>
                <c:pt idx="20">
                  <c:v>25985</c:v>
                </c:pt>
                <c:pt idx="21">
                  <c:v>43169</c:v>
                </c:pt>
                <c:pt idx="22">
                  <c:v>38124</c:v>
                </c:pt>
                <c:pt idx="23">
                  <c:v>15468</c:v>
                </c:pt>
                <c:pt idx="24">
                  <c:v>30477</c:v>
                </c:pt>
                <c:pt idx="25">
                  <c:v>18088</c:v>
                </c:pt>
                <c:pt idx="26">
                  <c:v>35438</c:v>
                </c:pt>
                <c:pt idx="27">
                  <c:v>27086</c:v>
                </c:pt>
                <c:pt idx="28">
                  <c:v>27165</c:v>
                </c:pt>
                <c:pt idx="29">
                  <c:v>11606</c:v>
                </c:pt>
                <c:pt idx="30">
                  <c:v>23314</c:v>
                </c:pt>
                <c:pt idx="31">
                  <c:v>26230</c:v>
                </c:pt>
                <c:pt idx="32">
                  <c:v>4619</c:v>
                </c:pt>
                <c:pt idx="33">
                  <c:v>17163</c:v>
                </c:pt>
                <c:pt idx="34">
                  <c:v>24121</c:v>
                </c:pt>
                <c:pt idx="35">
                  <c:v>7300</c:v>
                </c:pt>
              </c:numCache>
            </c:numRef>
          </c:val>
          <c:smooth val="0"/>
          <c:extLst>
            <c:ext xmlns:c16="http://schemas.microsoft.com/office/drawing/2014/chart" uri="{C3380CC4-5D6E-409C-BE32-E72D297353CC}">
              <c16:uniqueId val="{00000000-98FF-44EB-A970-8CDA46EB1DA3}"/>
            </c:ext>
          </c:extLst>
        </c:ser>
        <c:dLbls>
          <c:showLegendKey val="0"/>
          <c:showVal val="0"/>
          <c:showCatName val="0"/>
          <c:showSerName val="0"/>
          <c:showPercent val="0"/>
          <c:showBubbleSize val="0"/>
        </c:dLbls>
        <c:marker val="1"/>
        <c:smooth val="0"/>
        <c:axId val="1838195455"/>
        <c:axId val="1838166655"/>
      </c:lineChart>
      <c:catAx>
        <c:axId val="1838195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38166655"/>
        <c:crosses val="autoZero"/>
        <c:auto val="1"/>
        <c:lblAlgn val="ctr"/>
        <c:lblOffset val="100"/>
        <c:noMultiLvlLbl val="0"/>
      </c:catAx>
      <c:valAx>
        <c:axId val="1838166655"/>
        <c:scaling>
          <c:orientation val="minMax"/>
        </c:scaling>
        <c:delete val="1"/>
        <c:axPos val="l"/>
        <c:numFmt formatCode="General" sourceLinked="1"/>
        <c:majorTickMark val="none"/>
        <c:minorTickMark val="none"/>
        <c:tickLblPos val="nextTo"/>
        <c:crossAx val="18381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dataset.xlsx]Sheet8!PivotTable1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Total</a:t>
            </a:r>
            <a:r>
              <a:rPr lang="en-US" sz="1200" b="1" baseline="0">
                <a:solidFill>
                  <a:schemeClr val="tx1">
                    <a:lumMod val="95000"/>
                    <a:lumOff val="5000"/>
                  </a:schemeClr>
                </a:solidFill>
              </a:rPr>
              <a:t> Revenue by Gender</a:t>
            </a:r>
            <a:endParaRPr lang="en-US" sz="12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99CC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9CC00"/>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rgbClr val="99CC00"/>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346408841821907"/>
          <c:y val="0.44578187610851999"/>
          <c:w val="0.6239313790017823"/>
          <c:h val="0.55421812389147995"/>
        </c:manualLayout>
      </c:layout>
      <c:doughnutChart>
        <c:varyColors val="1"/>
        <c:ser>
          <c:idx val="0"/>
          <c:order val="0"/>
          <c:tx>
            <c:strRef>
              <c:f>Sheet8!$B$3</c:f>
              <c:strCache>
                <c:ptCount val="1"/>
                <c:pt idx="0">
                  <c:v>Total</c:v>
                </c:pt>
              </c:strCache>
            </c:strRef>
          </c:tx>
          <c:spPr>
            <a:solidFill>
              <a:srgbClr val="99CC00"/>
            </a:solidFill>
          </c:spPr>
          <c:explosion val="2"/>
          <c:dPt>
            <c:idx val="0"/>
            <c:bubble3D val="0"/>
            <c:spPr>
              <a:solidFill>
                <a:srgbClr val="99CC00"/>
              </a:solidFill>
              <a:ln w="19050">
                <a:solidFill>
                  <a:schemeClr val="lt1"/>
                </a:solidFill>
              </a:ln>
              <a:effectLst/>
            </c:spPr>
            <c:extLst>
              <c:ext xmlns:c16="http://schemas.microsoft.com/office/drawing/2014/chart" uri="{C3380CC4-5D6E-409C-BE32-E72D297353CC}">
                <c16:uniqueId val="{00000001-D99F-47B9-8F1B-990C10C92FA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99F-47B9-8F1B-990C10C92FA2}"/>
              </c:ext>
            </c:extLst>
          </c:dPt>
          <c:dPt>
            <c:idx val="2"/>
            <c:bubble3D val="0"/>
            <c:spPr>
              <a:solidFill>
                <a:srgbClr val="99CC00"/>
              </a:solidFill>
              <a:ln w="19050">
                <a:solidFill>
                  <a:schemeClr val="lt1"/>
                </a:solidFill>
              </a:ln>
              <a:effectLst/>
            </c:spPr>
            <c:extLst>
              <c:ext xmlns:c16="http://schemas.microsoft.com/office/drawing/2014/chart" uri="{C3380CC4-5D6E-409C-BE32-E72D297353CC}">
                <c16:uniqueId val="{00000005-D99F-47B9-8F1B-990C10C92FA2}"/>
              </c:ext>
            </c:extLst>
          </c:dPt>
          <c:dLbls>
            <c:dLbl>
              <c:idx val="2"/>
              <c:delete val="1"/>
              <c:extLst>
                <c:ext xmlns:c15="http://schemas.microsoft.com/office/drawing/2012/chart" uri="{CE6537A1-D6FC-4f65-9D91-7224C49458BB}"/>
                <c:ext xmlns:c16="http://schemas.microsoft.com/office/drawing/2014/chart" uri="{C3380CC4-5D6E-409C-BE32-E72D297353CC}">
                  <c16:uniqueId val="{00000005-D99F-47B9-8F1B-990C10C92FA2}"/>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Sheet8!$A$4:$A$7</c:f>
              <c:strCache>
                <c:ptCount val="3"/>
                <c:pt idx="0">
                  <c:v>Female</c:v>
                </c:pt>
                <c:pt idx="1">
                  <c:v>Male</c:v>
                </c:pt>
                <c:pt idx="2">
                  <c:v>Nill</c:v>
                </c:pt>
              </c:strCache>
            </c:strRef>
          </c:cat>
          <c:val>
            <c:numRef>
              <c:f>Sheet8!$B$4:$B$7</c:f>
              <c:numCache>
                <c:formatCode>General</c:formatCode>
                <c:ptCount val="3"/>
                <c:pt idx="0">
                  <c:v>381759</c:v>
                </c:pt>
                <c:pt idx="1">
                  <c:v>362762</c:v>
                </c:pt>
                <c:pt idx="2">
                  <c:v>3009</c:v>
                </c:pt>
              </c:numCache>
            </c:numRef>
          </c:val>
          <c:extLst>
            <c:ext xmlns:c16="http://schemas.microsoft.com/office/drawing/2014/chart" uri="{C3380CC4-5D6E-409C-BE32-E72D297353CC}">
              <c16:uniqueId val="{00000006-D99F-47B9-8F1B-990C10C92FA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Inovice</a:t>
            </a:r>
            <a:r>
              <a:rPr lang="en-US" b="1" baseline="0">
                <a:solidFill>
                  <a:schemeClr val="tx1">
                    <a:lumMod val="95000"/>
                    <a:lumOff val="5000"/>
                  </a:schemeClr>
                </a:solidFill>
              </a:rPr>
              <a:t> Volume by Prod Category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99CC00"/>
            </a:solidFill>
            <a:ln>
              <a:noFill/>
            </a:ln>
            <a:effectLst/>
          </c:spPr>
          <c:invertIfNegative val="0"/>
          <c:cat>
            <c:strRef>
              <c:f>Sheet7!$A$4:$A$8</c:f>
              <c:strCache>
                <c:ptCount val="4"/>
                <c:pt idx="0">
                  <c:v>Beverages</c:v>
                </c:pt>
                <c:pt idx="1">
                  <c:v>Household</c:v>
                </c:pt>
                <c:pt idx="2">
                  <c:v>Personal Care</c:v>
                </c:pt>
                <c:pt idx="3">
                  <c:v>Snacks</c:v>
                </c:pt>
              </c:strCache>
            </c:strRef>
          </c:cat>
          <c:val>
            <c:numRef>
              <c:f>Sheet7!$B$4:$B$8</c:f>
              <c:numCache>
                <c:formatCode>General</c:formatCode>
                <c:ptCount val="4"/>
                <c:pt idx="0">
                  <c:v>63</c:v>
                </c:pt>
                <c:pt idx="1">
                  <c:v>68</c:v>
                </c:pt>
                <c:pt idx="2">
                  <c:v>52</c:v>
                </c:pt>
                <c:pt idx="3">
                  <c:v>62</c:v>
                </c:pt>
              </c:numCache>
            </c:numRef>
          </c:val>
          <c:extLst>
            <c:ext xmlns:c16="http://schemas.microsoft.com/office/drawing/2014/chart" uri="{C3380CC4-5D6E-409C-BE32-E72D297353CC}">
              <c16:uniqueId val="{00000000-3B2B-4A05-A0F4-0147FE9B2B90}"/>
            </c:ext>
          </c:extLst>
        </c:ser>
        <c:dLbls>
          <c:showLegendKey val="0"/>
          <c:showVal val="0"/>
          <c:showCatName val="0"/>
          <c:showSerName val="0"/>
          <c:showPercent val="0"/>
          <c:showBubbleSize val="0"/>
        </c:dLbls>
        <c:gapWidth val="182"/>
        <c:axId val="2078586287"/>
        <c:axId val="2078590127"/>
      </c:barChart>
      <c:catAx>
        <c:axId val="20785862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90127"/>
        <c:crosses val="autoZero"/>
        <c:auto val="1"/>
        <c:lblAlgn val="ctr"/>
        <c:lblOffset val="100"/>
        <c:noMultiLvlLbl val="0"/>
      </c:catAx>
      <c:valAx>
        <c:axId val="207859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8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dataset.xlsx]Sheet6!PivotTable1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rgbClr val="99CC00"/>
            </a:solidFill>
            <a:ln>
              <a:noFill/>
            </a:ln>
            <a:effectLst/>
          </c:spPr>
          <c:invertIfNegative val="0"/>
          <c:cat>
            <c:strRef>
              <c:f>Sheet6!$A$4:$A$11</c:f>
              <c:strCache>
                <c:ptCount val="7"/>
                <c:pt idx="0">
                  <c:v>Abuja</c:v>
                </c:pt>
                <c:pt idx="1">
                  <c:v>Benin City</c:v>
                </c:pt>
                <c:pt idx="2">
                  <c:v>Ibadan</c:v>
                </c:pt>
                <c:pt idx="3">
                  <c:v>Kano</c:v>
                </c:pt>
                <c:pt idx="4">
                  <c:v>Lagos</c:v>
                </c:pt>
                <c:pt idx="5">
                  <c:v>Nill</c:v>
                </c:pt>
                <c:pt idx="6">
                  <c:v>Port Harcourt</c:v>
                </c:pt>
              </c:strCache>
            </c:strRef>
          </c:cat>
          <c:val>
            <c:numRef>
              <c:f>Sheet6!$B$4:$B$11</c:f>
              <c:numCache>
                <c:formatCode>General</c:formatCode>
                <c:ptCount val="7"/>
                <c:pt idx="0">
                  <c:v>128857</c:v>
                </c:pt>
                <c:pt idx="1">
                  <c:v>134039</c:v>
                </c:pt>
                <c:pt idx="2">
                  <c:v>90251</c:v>
                </c:pt>
                <c:pt idx="3">
                  <c:v>111726</c:v>
                </c:pt>
                <c:pt idx="4">
                  <c:v>109034</c:v>
                </c:pt>
                <c:pt idx="5">
                  <c:v>23658</c:v>
                </c:pt>
                <c:pt idx="6">
                  <c:v>149965</c:v>
                </c:pt>
              </c:numCache>
            </c:numRef>
          </c:val>
          <c:extLst>
            <c:ext xmlns:c16="http://schemas.microsoft.com/office/drawing/2014/chart" uri="{C3380CC4-5D6E-409C-BE32-E72D297353CC}">
              <c16:uniqueId val="{00000000-8570-4276-8572-54CC7EA0F3E8}"/>
            </c:ext>
          </c:extLst>
        </c:ser>
        <c:dLbls>
          <c:showLegendKey val="0"/>
          <c:showVal val="0"/>
          <c:showCatName val="0"/>
          <c:showSerName val="0"/>
          <c:showPercent val="0"/>
          <c:showBubbleSize val="0"/>
        </c:dLbls>
        <c:gapWidth val="150"/>
        <c:overlap val="100"/>
        <c:axId val="2078569487"/>
        <c:axId val="2078573807"/>
      </c:barChart>
      <c:catAx>
        <c:axId val="207856948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73807"/>
        <c:crosses val="autoZero"/>
        <c:auto val="1"/>
        <c:lblAlgn val="ctr"/>
        <c:lblOffset val="100"/>
        <c:noMultiLvlLbl val="0"/>
      </c:catAx>
      <c:valAx>
        <c:axId val="207857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5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dataset.xlsx]Sheet4!PivotTable1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Quantity</a:t>
            </a:r>
            <a:r>
              <a:rPr lang="en-US" b="1" baseline="0">
                <a:solidFill>
                  <a:schemeClr val="tx1">
                    <a:lumMod val="95000"/>
                    <a:lumOff val="5000"/>
                  </a:schemeClr>
                </a:solidFill>
              </a:rPr>
              <a:t> Sold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rgbClr val="99CC00"/>
            </a:solidFill>
            <a:ln>
              <a:noFill/>
            </a:ln>
            <a:effectLst/>
          </c:spPr>
          <c:invertIfNegative val="0"/>
          <c:cat>
            <c:strRef>
              <c:f>Sheet4!$A$4:$A$8</c:f>
              <c:strCache>
                <c:ptCount val="4"/>
                <c:pt idx="0">
                  <c:v>Beverages</c:v>
                </c:pt>
                <c:pt idx="1">
                  <c:v>Household</c:v>
                </c:pt>
                <c:pt idx="2">
                  <c:v>Personal Care</c:v>
                </c:pt>
                <c:pt idx="3">
                  <c:v>Snacks</c:v>
                </c:pt>
              </c:strCache>
            </c:strRef>
          </c:cat>
          <c:val>
            <c:numRef>
              <c:f>Sheet4!$B$4:$B$8</c:f>
              <c:numCache>
                <c:formatCode>0</c:formatCode>
                <c:ptCount val="4"/>
                <c:pt idx="0">
                  <c:v>380</c:v>
                </c:pt>
                <c:pt idx="1">
                  <c:v>519</c:v>
                </c:pt>
                <c:pt idx="2">
                  <c:v>292</c:v>
                </c:pt>
                <c:pt idx="3">
                  <c:v>475</c:v>
                </c:pt>
              </c:numCache>
            </c:numRef>
          </c:val>
          <c:extLst>
            <c:ext xmlns:c16="http://schemas.microsoft.com/office/drawing/2014/chart" uri="{C3380CC4-5D6E-409C-BE32-E72D297353CC}">
              <c16:uniqueId val="{00000000-14D3-4BE3-8DC1-B55810C7E9A6}"/>
            </c:ext>
          </c:extLst>
        </c:ser>
        <c:dLbls>
          <c:showLegendKey val="0"/>
          <c:showVal val="0"/>
          <c:showCatName val="0"/>
          <c:showSerName val="0"/>
          <c:showPercent val="0"/>
          <c:showBubbleSize val="0"/>
        </c:dLbls>
        <c:gapWidth val="150"/>
        <c:overlap val="100"/>
        <c:axId val="2078619887"/>
        <c:axId val="2078621327"/>
      </c:barChart>
      <c:catAx>
        <c:axId val="207861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621327"/>
        <c:crosses val="autoZero"/>
        <c:auto val="1"/>
        <c:lblAlgn val="ctr"/>
        <c:lblOffset val="100"/>
        <c:noMultiLvlLbl val="0"/>
      </c:catAx>
      <c:valAx>
        <c:axId val="20786213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7861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Sheet12!A1"/></Relationships>
</file>

<file path=xl/drawings/_rels/drawing2.xml.rels><?xml version="1.0" encoding="UTF-8" standalone="yes"?>
<Relationships xmlns="http://schemas.openxmlformats.org/package/2006/relationships"><Relationship Id="rId1" Type="http://schemas.openxmlformats.org/officeDocument/2006/relationships/hyperlink" Target="#Sheet12!A1"/></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hyperlink" Target="#Sheet12!A1"/><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hyperlink" Target="#Sheet2!A1"/><Relationship Id="rId13"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hyperlink" Target="#Sheet9!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4.png"/><Relationship Id="rId5" Type="http://schemas.openxmlformats.org/officeDocument/2006/relationships/chart" Target="../charts/chart8.xml"/><Relationship Id="rId10" Type="http://schemas.openxmlformats.org/officeDocument/2006/relationships/hyperlink" Target="#Sheet1!A1"/><Relationship Id="rId4" Type="http://schemas.openxmlformats.org/officeDocument/2006/relationships/chart" Target="../charts/chart7.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13</xdr:col>
      <xdr:colOff>295275</xdr:colOff>
      <xdr:row>3</xdr:row>
      <xdr:rowOff>152400</xdr:rowOff>
    </xdr:from>
    <xdr:to>
      <xdr:col>15</xdr:col>
      <xdr:colOff>133350</xdr:colOff>
      <xdr:row>6</xdr:row>
      <xdr:rowOff>161925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235C7C5-0D08-A48A-4FF8-E00E69E74EB8}"/>
            </a:ext>
          </a:extLst>
        </xdr:cNvPr>
        <xdr:cNvSpPr/>
      </xdr:nvSpPr>
      <xdr:spPr>
        <a:xfrm>
          <a:off x="10734675" y="723900"/>
          <a:ext cx="1057275" cy="581025"/>
        </a:xfrm>
        <a:prstGeom prst="roundRect">
          <a:avLst/>
        </a:prstGeom>
        <a:solidFill>
          <a:srgbClr val="80C535"/>
        </a:solidFill>
        <a:ln w="19050">
          <a:solidFill>
            <a:srgbClr val="80C535"/>
          </a:solidFill>
        </a:ln>
        <a:effectLst>
          <a:innerShdw blurRad="63500" dist="50800" dir="18900000">
            <a:prstClr val="black">
              <a:alpha val="50000"/>
            </a:prstClr>
          </a:innerShdw>
        </a:effectLst>
        <a:scene3d>
          <a:camera prst="isometricOffAxis2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285750</xdr:colOff>
      <xdr:row>5</xdr:row>
      <xdr:rowOff>0</xdr:rowOff>
    </xdr:from>
    <xdr:to>
      <xdr:col>13</xdr:col>
      <xdr:colOff>123825</xdr:colOff>
      <xdr:row>8</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7F0FA10-6E3F-4C9E-BEFE-BA0C65D5F100}"/>
            </a:ext>
          </a:extLst>
        </xdr:cNvPr>
        <xdr:cNvSpPr/>
      </xdr:nvSpPr>
      <xdr:spPr>
        <a:xfrm>
          <a:off x="11401425" y="952500"/>
          <a:ext cx="1057275" cy="581025"/>
        </a:xfrm>
        <a:prstGeom prst="roundRect">
          <a:avLst/>
        </a:prstGeom>
        <a:solidFill>
          <a:srgbClr val="80C535"/>
        </a:solidFill>
        <a:ln w="19050">
          <a:solidFill>
            <a:srgbClr val="80C535"/>
          </a:solidFill>
        </a:ln>
        <a:effectLst>
          <a:innerShdw blurRad="63500" dist="50800" dir="18900000">
            <a:prstClr val="black">
              <a:alpha val="50000"/>
            </a:prstClr>
          </a:innerShdw>
        </a:effectLst>
        <a:scene3d>
          <a:camera prst="isometricOffAxis2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209550</xdr:colOff>
      <xdr:row>3</xdr:row>
      <xdr:rowOff>185737</xdr:rowOff>
    </xdr:from>
    <xdr:to>
      <xdr:col>11</xdr:col>
      <xdr:colOff>514350</xdr:colOff>
      <xdr:row>18</xdr:row>
      <xdr:rowOff>71437</xdr:rowOff>
    </xdr:to>
    <xdr:graphicFrame macro="">
      <xdr:nvGraphicFramePr>
        <xdr:cNvPr id="2" name="Chart 1">
          <a:extLst>
            <a:ext uri="{FF2B5EF4-FFF2-40B4-BE49-F238E27FC236}">
              <a16:creationId xmlns:a16="http://schemas.microsoft.com/office/drawing/2014/main" id="{23C3253A-B534-E9B9-7C98-E7A9EC9AE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1066800</xdr:colOff>
      <xdr:row>6</xdr:row>
      <xdr:rowOff>52387</xdr:rowOff>
    </xdr:from>
    <xdr:to>
      <xdr:col>10</xdr:col>
      <xdr:colOff>133350</xdr:colOff>
      <xdr:row>20</xdr:row>
      <xdr:rowOff>128587</xdr:rowOff>
    </xdr:to>
    <xdr:graphicFrame macro="">
      <xdr:nvGraphicFramePr>
        <xdr:cNvPr id="4" name="Chart 3">
          <a:extLst>
            <a:ext uri="{FF2B5EF4-FFF2-40B4-BE49-F238E27FC236}">
              <a16:creationId xmlns:a16="http://schemas.microsoft.com/office/drawing/2014/main" id="{07B6B058-52FD-2D35-9230-2E3D2623A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1076325</xdr:colOff>
      <xdr:row>5</xdr:row>
      <xdr:rowOff>14287</xdr:rowOff>
    </xdr:from>
    <xdr:to>
      <xdr:col>10</xdr:col>
      <xdr:colOff>142875</xdr:colOff>
      <xdr:row>19</xdr:row>
      <xdr:rowOff>90487</xdr:rowOff>
    </xdr:to>
    <xdr:graphicFrame macro="">
      <xdr:nvGraphicFramePr>
        <xdr:cNvPr id="3" name="Chart 2">
          <a:extLst>
            <a:ext uri="{FF2B5EF4-FFF2-40B4-BE49-F238E27FC236}">
              <a16:creationId xmlns:a16="http://schemas.microsoft.com/office/drawing/2014/main" id="{3DB9D6C6-59E3-C345-5E92-861FA064C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1162050</xdr:colOff>
      <xdr:row>3</xdr:row>
      <xdr:rowOff>128587</xdr:rowOff>
    </xdr:from>
    <xdr:to>
      <xdr:col>10</xdr:col>
      <xdr:colOff>228600</xdr:colOff>
      <xdr:row>18</xdr:row>
      <xdr:rowOff>14287</xdr:rowOff>
    </xdr:to>
    <xdr:graphicFrame macro="">
      <xdr:nvGraphicFramePr>
        <xdr:cNvPr id="2" name="Chart 1">
          <a:extLst>
            <a:ext uri="{FF2B5EF4-FFF2-40B4-BE49-F238E27FC236}">
              <a16:creationId xmlns:a16="http://schemas.microsoft.com/office/drawing/2014/main" id="{D5B94A47-FDC1-612A-51C3-C8D4BDCA0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304800</xdr:colOff>
      <xdr:row>4</xdr:row>
      <xdr:rowOff>128587</xdr:rowOff>
    </xdr:from>
    <xdr:to>
      <xdr:col>11</xdr:col>
      <xdr:colOff>0</xdr:colOff>
      <xdr:row>19</xdr:row>
      <xdr:rowOff>14287</xdr:rowOff>
    </xdr:to>
    <xdr:graphicFrame macro="">
      <xdr:nvGraphicFramePr>
        <xdr:cNvPr id="2" name="Chart 1">
          <a:extLst>
            <a:ext uri="{FF2B5EF4-FFF2-40B4-BE49-F238E27FC236}">
              <a16:creationId xmlns:a16="http://schemas.microsoft.com/office/drawing/2014/main" id="{5F2ED0CE-4ADC-26FC-8DE0-53849788D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8</xdr:row>
      <xdr:rowOff>0</xdr:rowOff>
    </xdr:from>
    <xdr:to>
      <xdr:col>15</xdr:col>
      <xdr:colOff>447675</xdr:colOff>
      <xdr:row>11</xdr:row>
      <xdr:rowOff>9525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BE16582E-F6F9-42C0-958C-288FE201741B}"/>
            </a:ext>
          </a:extLst>
        </xdr:cNvPr>
        <xdr:cNvSpPr/>
      </xdr:nvSpPr>
      <xdr:spPr>
        <a:xfrm>
          <a:off x="10182225" y="1524000"/>
          <a:ext cx="1057275" cy="581025"/>
        </a:xfrm>
        <a:prstGeom prst="roundRect">
          <a:avLst/>
        </a:prstGeom>
        <a:solidFill>
          <a:srgbClr val="80C535"/>
        </a:solidFill>
        <a:ln w="19050">
          <a:solidFill>
            <a:srgbClr val="80C535"/>
          </a:solidFill>
        </a:ln>
        <a:effectLst>
          <a:innerShdw blurRad="63500" dist="50800" dir="18900000">
            <a:prstClr val="black">
              <a:alpha val="50000"/>
            </a:prstClr>
          </a:innerShdw>
        </a:effectLst>
        <a:scene3d>
          <a:camera prst="isometricOffAxis2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BACK</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530677</xdr:colOff>
      <xdr:row>4</xdr:row>
      <xdr:rowOff>40821</xdr:rowOff>
    </xdr:from>
    <xdr:to>
      <xdr:col>26</xdr:col>
      <xdr:colOff>312965</xdr:colOff>
      <xdr:row>39</xdr:row>
      <xdr:rowOff>95250</xdr:rowOff>
    </xdr:to>
    <xdr:grpSp>
      <xdr:nvGrpSpPr>
        <xdr:cNvPr id="17" name="Group 16">
          <a:extLst>
            <a:ext uri="{FF2B5EF4-FFF2-40B4-BE49-F238E27FC236}">
              <a16:creationId xmlns:a16="http://schemas.microsoft.com/office/drawing/2014/main" id="{44E28758-937E-B8B8-C54E-11DBFB42D142}"/>
            </a:ext>
          </a:extLst>
        </xdr:cNvPr>
        <xdr:cNvGrpSpPr/>
      </xdr:nvGrpSpPr>
      <xdr:grpSpPr>
        <a:xfrm>
          <a:off x="4204606" y="802821"/>
          <a:ext cx="12028716" cy="6721929"/>
          <a:chOff x="4163785" y="898071"/>
          <a:chExt cx="12028716" cy="6721929"/>
        </a:xfrm>
      </xdr:grpSpPr>
      <xdr:sp macro="" textlink="">
        <xdr:nvSpPr>
          <xdr:cNvPr id="24" name="Rectangle 23">
            <a:extLst>
              <a:ext uri="{FF2B5EF4-FFF2-40B4-BE49-F238E27FC236}">
                <a16:creationId xmlns:a16="http://schemas.microsoft.com/office/drawing/2014/main" id="{8D9EA97A-1A8B-E3E2-3812-3612143A2E0F}"/>
              </a:ext>
            </a:extLst>
          </xdr:cNvPr>
          <xdr:cNvSpPr/>
        </xdr:nvSpPr>
        <xdr:spPr>
          <a:xfrm>
            <a:off x="4163785" y="898071"/>
            <a:ext cx="12028716" cy="6721929"/>
          </a:xfrm>
          <a:prstGeom prst="rect">
            <a:avLst/>
          </a:prstGeom>
          <a:solidFill>
            <a:schemeClr val="bg1"/>
          </a:solidFill>
          <a:ln w="28575">
            <a:solidFill>
              <a:srgbClr val="80C535"/>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6" name="Group 15">
            <a:extLst>
              <a:ext uri="{FF2B5EF4-FFF2-40B4-BE49-F238E27FC236}">
                <a16:creationId xmlns:a16="http://schemas.microsoft.com/office/drawing/2014/main" id="{51CCB032-530D-0D3A-EC0E-B9C2AF75FF0D}"/>
              </a:ext>
            </a:extLst>
          </xdr:cNvPr>
          <xdr:cNvGrpSpPr/>
        </xdr:nvGrpSpPr>
        <xdr:grpSpPr>
          <a:xfrm>
            <a:off x="4496443" y="1136197"/>
            <a:ext cx="11413205" cy="6191250"/>
            <a:chOff x="4496443" y="1136197"/>
            <a:chExt cx="11413205" cy="6191250"/>
          </a:xfrm>
        </xdr:grpSpPr>
        <xdr:pic>
          <xdr:nvPicPr>
            <xdr:cNvPr id="3" name="Graphic 2">
              <a:extLst>
                <a:ext uri="{FF2B5EF4-FFF2-40B4-BE49-F238E27FC236}">
                  <a16:creationId xmlns:a16="http://schemas.microsoft.com/office/drawing/2014/main" id="{34F86436-54F8-CC12-019C-0ECA942235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96443" y="1136197"/>
              <a:ext cx="11413205" cy="6191250"/>
            </a:xfrm>
            <a:prstGeom prst="rect">
              <a:avLst/>
            </a:prstGeom>
          </xdr:spPr>
        </xdr:pic>
        <xdr:graphicFrame macro="">
          <xdr:nvGraphicFramePr>
            <xdr:cNvPr id="6" name="Chart 5">
              <a:extLst>
                <a:ext uri="{FF2B5EF4-FFF2-40B4-BE49-F238E27FC236}">
                  <a16:creationId xmlns:a16="http://schemas.microsoft.com/office/drawing/2014/main" id="{6C75789C-87C7-4833-9F95-10D00D6B8D74}"/>
                </a:ext>
              </a:extLst>
            </xdr:cNvPr>
            <xdr:cNvGraphicFramePr>
              <a:graphicFrameLocks/>
            </xdr:cNvGraphicFramePr>
          </xdr:nvGraphicFramePr>
          <xdr:xfrm>
            <a:off x="5767756" y="3476626"/>
            <a:ext cx="6475972" cy="14559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E168BAF1-8670-4C92-9596-4152418EFFE0}"/>
                </a:ext>
              </a:extLst>
            </xdr:cNvPr>
            <xdr:cNvGraphicFramePr>
              <a:graphicFrameLocks/>
            </xdr:cNvGraphicFramePr>
          </xdr:nvGraphicFramePr>
          <xdr:xfrm>
            <a:off x="13353494" y="3340553"/>
            <a:ext cx="2233578" cy="16192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B0CC980E-B969-4148-885D-32A030A8FFBC}"/>
                </a:ext>
              </a:extLst>
            </xdr:cNvPr>
            <xdr:cNvGraphicFramePr>
              <a:graphicFrameLocks/>
            </xdr:cNvGraphicFramePr>
          </xdr:nvGraphicFramePr>
          <xdr:xfrm>
            <a:off x="5620255" y="5218340"/>
            <a:ext cx="3308224" cy="156482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a:extLst>
                <a:ext uri="{FF2B5EF4-FFF2-40B4-BE49-F238E27FC236}">
                  <a16:creationId xmlns:a16="http://schemas.microsoft.com/office/drawing/2014/main" id="{2FB4A339-1A5B-45C3-9553-EE888F576E03}"/>
                </a:ext>
              </a:extLst>
            </xdr:cNvPr>
            <xdr:cNvGraphicFramePr>
              <a:graphicFrameLocks/>
            </xdr:cNvGraphicFramePr>
          </xdr:nvGraphicFramePr>
          <xdr:xfrm>
            <a:off x="9265625" y="5204733"/>
            <a:ext cx="3188819" cy="153760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 name="Chart 9">
              <a:extLst>
                <a:ext uri="{FF2B5EF4-FFF2-40B4-BE49-F238E27FC236}">
                  <a16:creationId xmlns:a16="http://schemas.microsoft.com/office/drawing/2014/main" id="{8DFC7D68-E027-46C2-B0E8-1406AFDD9A1F}"/>
                </a:ext>
              </a:extLst>
            </xdr:cNvPr>
            <xdr:cNvGraphicFramePr>
              <a:graphicFrameLocks/>
            </xdr:cNvGraphicFramePr>
          </xdr:nvGraphicFramePr>
          <xdr:xfrm>
            <a:off x="13241113" y="5163912"/>
            <a:ext cx="2584768" cy="1619250"/>
          </xdr:xfrm>
          <a:graphic>
            <a:graphicData uri="http://schemas.openxmlformats.org/drawingml/2006/chart">
              <c:chart xmlns:c="http://schemas.openxmlformats.org/drawingml/2006/chart" xmlns:r="http://schemas.openxmlformats.org/officeDocument/2006/relationships" r:id="rId7"/>
            </a:graphicData>
          </a:graphic>
        </xdr:graphicFrame>
        <xdr:sp macro="" textlink="Sheet3!B11">
          <xdr:nvSpPr>
            <xdr:cNvPr id="2" name="TextBox 1">
              <a:extLst>
                <a:ext uri="{FF2B5EF4-FFF2-40B4-BE49-F238E27FC236}">
                  <a16:creationId xmlns:a16="http://schemas.microsoft.com/office/drawing/2014/main" id="{C6FB9BE5-AF19-EE8B-A8FD-19E77FCB45FC}"/>
                </a:ext>
              </a:extLst>
            </xdr:cNvPr>
            <xdr:cNvSpPr txBox="1"/>
          </xdr:nvSpPr>
          <xdr:spPr>
            <a:xfrm flipH="1">
              <a:off x="6451034" y="2333625"/>
              <a:ext cx="1255299" cy="55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37D1E9-C492-4D1C-8751-138D7CC93A74}" type="TxLink">
                <a:rPr lang="en-US" sz="1600" b="1" i="0" u="none" strike="noStrike">
                  <a:solidFill>
                    <a:srgbClr val="000000"/>
                  </a:solidFill>
                  <a:latin typeface="Calibri"/>
                  <a:cs typeface="Calibri"/>
                </a:rPr>
                <a:pPr/>
                <a:t>$747,530</a:t>
              </a:fld>
              <a:endParaRPr lang="en-US" sz="1600" b="1"/>
            </a:p>
          </xdr:txBody>
        </xdr:sp>
        <xdr:sp macro="" textlink="Sheet4!B11">
          <xdr:nvSpPr>
            <xdr:cNvPr id="4" name="TextBox 3">
              <a:extLst>
                <a:ext uri="{FF2B5EF4-FFF2-40B4-BE49-F238E27FC236}">
                  <a16:creationId xmlns:a16="http://schemas.microsoft.com/office/drawing/2014/main" id="{D85D0C41-37D3-8365-9674-5DAA5C356B0D}"/>
                </a:ext>
              </a:extLst>
            </xdr:cNvPr>
            <xdr:cNvSpPr txBox="1"/>
          </xdr:nvSpPr>
          <xdr:spPr>
            <a:xfrm>
              <a:off x="8872290" y="2320019"/>
              <a:ext cx="64619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A169C7-EC46-46F3-8EB3-2B1A8D4AF837}" type="TxLink">
                <a:rPr lang="en-US" sz="1600" b="1" i="0" u="none" strike="noStrike">
                  <a:solidFill>
                    <a:srgbClr val="000000"/>
                  </a:solidFill>
                  <a:latin typeface="Calibri"/>
                  <a:cs typeface="Calibri"/>
                </a:rPr>
                <a:pPr/>
                <a:t>1666</a:t>
              </a:fld>
              <a:endParaRPr lang="en-US" sz="1600" b="1"/>
            </a:p>
          </xdr:txBody>
        </xdr:sp>
        <xdr:sp macro="" textlink="Sheet5!D8">
          <xdr:nvSpPr>
            <xdr:cNvPr id="5" name="TextBox 4">
              <a:extLst>
                <a:ext uri="{FF2B5EF4-FFF2-40B4-BE49-F238E27FC236}">
                  <a16:creationId xmlns:a16="http://schemas.microsoft.com/office/drawing/2014/main" id="{017E22B7-C696-0556-7440-66D9906AC963}"/>
                </a:ext>
              </a:extLst>
            </xdr:cNvPr>
            <xdr:cNvSpPr txBox="1"/>
          </xdr:nvSpPr>
          <xdr:spPr>
            <a:xfrm>
              <a:off x="11386822" y="2320018"/>
              <a:ext cx="1025480"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C924BD-2111-49E8-9C76-80F8930AD469}" type="TxLink">
                <a:rPr lang="en-US" sz="1600" b="1" i="0" u="none" strike="noStrike">
                  <a:solidFill>
                    <a:srgbClr val="000000"/>
                  </a:solidFill>
                  <a:latin typeface="Calibri"/>
                  <a:cs typeface="Calibri"/>
                </a:rPr>
                <a:pPr/>
                <a:t>$3,051.14</a:t>
              </a:fld>
              <a:endParaRPr lang="en-US" sz="1600" b="1"/>
            </a:p>
          </xdr:txBody>
        </xdr:sp>
        <mc:AlternateContent xmlns:mc="http://schemas.openxmlformats.org/markup-compatibility/2006">
          <mc:Choice xmlns:a14="http://schemas.microsoft.com/office/drawing/2010/main" Requires="a14">
            <xdr:graphicFrame macro="">
              <xdr:nvGraphicFramePr>
                <xdr:cNvPr id="11" name="Product_Category">
                  <a:extLst>
                    <a:ext uri="{FF2B5EF4-FFF2-40B4-BE49-F238E27FC236}">
                      <a16:creationId xmlns:a16="http://schemas.microsoft.com/office/drawing/2014/main" id="{3C3316C8-C23F-7EA4-EF18-23EABF3105BE}"/>
                    </a:ext>
                  </a:extLst>
                </xdr:cNvPr>
                <xdr:cNvGraphicFramePr/>
              </xdr:nvGraphicFramePr>
              <xdr:xfrm>
                <a:off x="13803020" y="2224769"/>
                <a:ext cx="1517146" cy="843642"/>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3843841" y="2129519"/>
                  <a:ext cx="1517146" cy="843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3" name="Picture 12">
              <a:hlinkClick xmlns:r="http://schemas.openxmlformats.org/officeDocument/2006/relationships" r:id="rId8"/>
              <a:extLst>
                <a:ext uri="{FF2B5EF4-FFF2-40B4-BE49-F238E27FC236}">
                  <a16:creationId xmlns:a16="http://schemas.microsoft.com/office/drawing/2014/main" id="{9B5AA8E7-6341-70F9-28E7-B9E4157CE50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4756325" y="4048125"/>
              <a:ext cx="368161" cy="356616"/>
            </a:xfrm>
            <a:prstGeom prst="rect">
              <a:avLst/>
            </a:prstGeom>
            <a:ln w="9525">
              <a:noFill/>
            </a:ln>
          </xdr:spPr>
        </xdr:pic>
        <xdr:pic>
          <xdr:nvPicPr>
            <xdr:cNvPr id="15" name="Picture 14">
              <a:hlinkClick xmlns:r="http://schemas.openxmlformats.org/officeDocument/2006/relationships" r:id="rId10"/>
              <a:extLst>
                <a:ext uri="{FF2B5EF4-FFF2-40B4-BE49-F238E27FC236}">
                  <a16:creationId xmlns:a16="http://schemas.microsoft.com/office/drawing/2014/main" id="{3C148B75-2490-F4DE-64DD-5160B3FA3C3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742277" y="2075091"/>
              <a:ext cx="368161" cy="356616"/>
            </a:xfrm>
            <a:prstGeom prst="rect">
              <a:avLst/>
            </a:prstGeom>
            <a:ln w="9525">
              <a:noFill/>
            </a:ln>
          </xdr:spPr>
        </xdr:pic>
        <xdr:pic>
          <xdr:nvPicPr>
            <xdr:cNvPr id="23" name="Picture 22">
              <a:hlinkClick xmlns:r="http://schemas.openxmlformats.org/officeDocument/2006/relationships" r:id="rId12"/>
              <a:extLst>
                <a:ext uri="{FF2B5EF4-FFF2-40B4-BE49-F238E27FC236}">
                  <a16:creationId xmlns:a16="http://schemas.microsoft.com/office/drawing/2014/main" id="{81804E64-D0C6-432B-BA3A-CD22FB25864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798468" y="6130019"/>
              <a:ext cx="368161" cy="356616"/>
            </a:xfrm>
            <a:prstGeom prst="rect">
              <a:avLst/>
            </a:prstGeom>
            <a:ln w="9525">
              <a:noFill/>
            </a:ln>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kurat" refreshedDate="46071.498324305554" createdVersion="8" refreshedVersion="8" minRefreshableVersion="3" recordCount="245" xr:uid="{6CE4C526-43DA-4DE5-81DF-C365970ABB2E}">
  <cacheSource type="worksheet">
    <worksheetSource name="Table1"/>
  </cacheSource>
  <cacheFields count="13">
    <cacheField name="Invoice_ID" numFmtId="0">
      <sharedItems/>
    </cacheField>
    <cacheField name="Customer_Name" numFmtId="0">
      <sharedItems count="243">
        <s v="Angelica Taylor"/>
        <s v="Mary Williams"/>
        <s v="George King"/>
        <s v="Angelica Morrison"/>
        <s v="Madison Werner"/>
        <s v="Carol Washington"/>
        <s v="Dustin Cooper"/>
        <s v="Veronica Lloyd"/>
        <s v="Gregory Long"/>
        <s v="Amy Ortiz"/>
        <s v="Sharon Hartman"/>
        <s v="Mary Lawson"/>
        <s v="Cindy Ortiz"/>
        <s v="Sarah Hall"/>
        <s v="Amber Morrison"/>
        <s v="Marcus Reed"/>
        <s v="Nicole Shelton"/>
        <s v="James Daniel"/>
        <s v="Christy Harris"/>
        <s v="Donna Woods"/>
        <s v="Russell Price"/>
        <s v="David Drake"/>
        <s v="Sarah Richardson"/>
        <s v="Jessica Hayes"/>
        <s v="Nill"/>
        <s v="Dr. Zachary Alvarez MD"/>
        <s v="Brandon Barnett"/>
        <s v="Robert Taylor"/>
        <s v="Amber Parker"/>
        <s v="Mary Carlson"/>
        <s v="David Allen"/>
        <s v="Sean Coleman"/>
        <s v="Joseph Duran"/>
        <s v="Deborah Perez"/>
        <s v="Anthony Pugh"/>
        <s v="Tyler Harvey"/>
        <s v="Ruth Garcia"/>
        <s v="Lindsey Henry"/>
        <s v="David Ruiz"/>
        <s v="Yolanda Ward"/>
        <s v="Christopher Young"/>
        <s v="Michael Hall"/>
        <s v="Jessica Williams"/>
        <s v="Rebecca Charles"/>
        <s v="Michelle Duran"/>
        <s v="Keith Brown"/>
        <s v="Lisa Watson"/>
        <s v="Sarah Norris"/>
        <s v="Nicholas Wilson"/>
        <s v="Charles Hopkins"/>
        <s v="Andrew Little"/>
        <s v="Mitchell Campbell"/>
        <s v="Matthew Smith"/>
        <s v="Tamara Green"/>
        <s v="Madison Ward"/>
        <s v="Donna Herrera"/>
        <s v="Lisa Foster"/>
        <s v="Jeffrey Johnson"/>
        <s v="Steven Boyd"/>
        <s v="Michael Lawrence"/>
        <s v="Michael Villa"/>
        <s v="Joseph Johnson"/>
        <s v="Michael Sharp"/>
        <s v="Katrina Andrews"/>
        <s v="Beth Ruiz"/>
        <s v="Alexis Pena"/>
        <s v="Keith Chang"/>
        <s v="Kaitlyn Figueroa"/>
        <s v="Scott West"/>
        <s v="Rachael Shepherd"/>
        <s v="Jennifer Floyd"/>
        <s v="Philip Harmon"/>
        <s v="Gary Watson"/>
        <s v="Beth Lopez"/>
        <s v="Miguel Christian"/>
        <s v="David White"/>
        <s v="Crystal Horton"/>
        <s v="Melissa Clarke DVM"/>
        <s v="John Evans"/>
        <s v="Lisa Jimenez"/>
        <s v="Kimberly Wilson"/>
        <s v="Jennifer Thomas"/>
        <s v="James Molina"/>
        <s v="Stephen Bradley"/>
        <s v="Sean Schroeder"/>
        <s v="Patrick Spence"/>
        <s v="Jeffery Campbell"/>
        <s v="Kevin Sandoval"/>
        <s v="Wendy Mayer"/>
        <s v="Joe Simpson"/>
        <s v="Sandra Frederick"/>
        <s v="Jennifer Taylor"/>
        <s v="Kenneth Chavez"/>
        <s v="Brian Moore"/>
        <s v="Justin Stevenson"/>
        <s v="Brian Orr"/>
        <s v="Erika Lowery"/>
        <s v="Gregory Brown"/>
        <s v="Kathleen Smith"/>
        <s v="Melanie Martin"/>
        <s v="Chase Hall"/>
        <s v="Erik Nguyen"/>
        <s v="Felicia Duncan"/>
        <s v="Jennifer Flores"/>
        <s v="Robert Owens"/>
        <s v="Linda Adams"/>
        <s v="Mary Johnson"/>
        <s v="Michael Leach"/>
        <s v="Matthew Tyler"/>
        <s v="Jonathan Peterson"/>
        <s v="Lindsay Martinez"/>
        <s v="Daniel Anderson"/>
        <s v="Megan Vaughn"/>
        <s v="Linda Rodriguez"/>
        <s v="Amy Lewis"/>
        <s v="Phillip Walker"/>
        <s v="Melissa Miller"/>
        <s v="Sara Miller"/>
        <s v="Lori Garner"/>
        <s v="Tyrone Soto"/>
        <s v="Karen Hansen"/>
        <s v="Steven Parker"/>
        <s v="Stacy Fischer"/>
        <s v="Amanda Waller"/>
        <s v="Terrence Kidd"/>
        <s v="Kylie Bennett"/>
        <s v="Troy Gibson"/>
        <s v="Penny Hernandez"/>
        <s v="Kenneth Morton"/>
        <s v="Katherine Curry"/>
        <s v="Heather Shaw"/>
        <s v="Seth Anderson"/>
        <s v="Beth Tyler"/>
        <s v="Donald Ingram"/>
        <s v="Randy Hudson"/>
        <s v="Laura Flores"/>
        <s v="Martin Young"/>
        <s v="Jason Morales"/>
        <s v="Laura Lewis"/>
        <s v="Richard Thompson"/>
        <s v="Tyler Patterson"/>
        <s v="Mr. Christopher Williams MD"/>
        <s v="Kevin Larson"/>
        <s v="Nathan Smith DDS"/>
        <s v="Douglas Price"/>
        <s v="Laura Molina"/>
        <s v="Edward Proctor"/>
        <s v="Matthew Powers"/>
        <s v="Shawn Maldonado"/>
        <s v="Zachary Hamilton"/>
        <s v="Drew Tanner"/>
        <s v="Danielle Gonzales"/>
        <s v="Brianna Davis"/>
        <s v="Tammy White"/>
        <s v="Nicole Larson"/>
        <s v="Arthur Morris"/>
        <s v="Lindsay Mason"/>
        <s v="Stephen Williams"/>
        <s v="Gary Dillon"/>
        <s v="Joseph Contreras"/>
        <s v="Benjamin Vargas"/>
        <s v="Kimberly Vasquez"/>
        <s v="Nina Shaw"/>
        <s v="Juan Harvey"/>
        <s v="Raymond Gray"/>
        <s v="Matthew Davis"/>
        <s v="Michelle Long"/>
        <s v="Harold Vargas"/>
        <s v="Johnny Garcia"/>
        <s v="Samantha Moore"/>
        <s v="Eric Willis"/>
        <s v="Lauren Murphy"/>
        <s v="Nicholas Ramirez"/>
        <s v="Karen Garner"/>
        <s v="David Berry"/>
        <s v="Joseph Perkins"/>
        <s v="Jerry Johnson"/>
        <s v="Sharon Conner"/>
        <s v="Debra Lutz"/>
        <s v="Emily Hill"/>
        <s v="Nancy Carter"/>
        <s v="James Carpenter"/>
        <s v="Dr. Evelyn Reed DDS"/>
        <s v="William Fuentes"/>
        <s v="Jackie Stevens"/>
        <s v="Samantha King"/>
        <s v="Emily Cook"/>
        <s v="April Flores"/>
        <s v="Heather Phillips"/>
        <s v="Sarah Robinson"/>
        <s v="Dawn Landry"/>
        <s v="Michelle Davis"/>
        <s v="Brent Perez"/>
        <s v="Daniel Wong"/>
        <s v="Michael Edwards"/>
        <s v="Morgan Hogan"/>
        <s v="Gary Jordan"/>
        <s v="Joshua Murphy"/>
        <s v="Amy Suarez"/>
        <s v="Stephanie Joseph"/>
        <s v="Tina Gonzalez"/>
        <s v="Timothy Chandler"/>
        <s v="Sarah Castillo"/>
        <s v="Kelsey Schaefer"/>
        <s v="Nicholas Brady"/>
        <s v="Eric Larson"/>
        <s v="Jonathan Vargas"/>
        <s v="Donna Koch"/>
        <s v="Mark Santiago"/>
        <s v="Robert Diaz"/>
        <s v="John Wright"/>
        <s v="David Blair"/>
        <s v="John Thornton"/>
        <s v="Erin Jennings"/>
        <s v="Brianna Romero"/>
        <s v="Kim Berger MD"/>
        <s v="Fernando Pugh"/>
        <s v="Richard Bolton"/>
        <s v="Jordan Tanner"/>
        <s v="Donna Lee"/>
        <s v="John Odom"/>
        <s v="Noah Moody"/>
        <s v="Micheal Rivera"/>
        <s v="Amanda Johnson"/>
        <s v="Tonya Clark"/>
        <s v="David Webb"/>
        <s v="Amy Oliver"/>
        <s v="Angel Scott"/>
        <s v="Cole Singleton"/>
        <s v="Kyle Chapman"/>
        <s v="Hector Park"/>
        <s v="Sean Hopkins"/>
        <s v="Amy Hart"/>
        <s v="Heather Chavez"/>
        <s v="Elizabeth Harmon"/>
        <s v="Annette Patterson"/>
        <s v="Chad Cisneros"/>
        <s v="Tracy Cunningham"/>
        <s v="Morgan Myers"/>
        <s v="Darrell Kennedy"/>
        <s v="Christine Hammond"/>
        <s v="Carol Watson"/>
        <s v="Jonathan Lee"/>
      </sharedItems>
    </cacheField>
    <cacheField name="Gender" numFmtId="0">
      <sharedItems count="3">
        <s v="Female"/>
        <s v="Male"/>
        <s v="Nill"/>
      </sharedItems>
    </cacheField>
    <cacheField name="Product_Category" numFmtId="0">
      <sharedItems count="4">
        <s v="Snacks"/>
        <s v="Beverages"/>
        <s v="Household"/>
        <s v="Personal Care"/>
      </sharedItems>
    </cacheField>
    <cacheField name="Product_Name" numFmtId="0">
      <sharedItems count="21">
        <s v="Biscuits"/>
        <s v="Fanta"/>
        <s v="Nill"/>
        <s v="Toilet Paper"/>
        <s v="Soap"/>
        <s v="Coke"/>
        <s v="Shampoo"/>
        <s v="Chin Chin"/>
        <s v="Lotion"/>
        <s v="Air Freshener"/>
        <s v="Detergent"/>
        <s v="Juice"/>
        <s v="Cookies"/>
        <s v="Pepsi"/>
        <s v="Granola Bar"/>
        <s v="Chips"/>
        <s v="Water"/>
        <s v="Hand Sanitizer"/>
        <s v="Bleach"/>
        <s v="Deodorant"/>
        <s v="Toothpaste"/>
      </sharedItems>
    </cacheField>
    <cacheField name="Quantity" numFmtId="0">
      <sharedItems containsSemiMixedTypes="0" containsString="0" containsNumber="1" containsInteger="1" minValue="1" maxValue="140"/>
    </cacheField>
    <cacheField name="Unit_Price" numFmtId="0">
      <sharedItems containsSemiMixedTypes="0" containsString="0" containsNumber="1" containsInteger="1" minValue="53" maxValue="27300"/>
    </cacheField>
    <cacheField name="Total_Amount" numFmtId="0">
      <sharedItems containsSemiMixedTypes="0" containsString="0" containsNumber="1" containsInteger="1" minValue="106" maxValue="9810"/>
    </cacheField>
    <cacheField name="Payment_Method" numFmtId="0">
      <sharedItems count="7">
        <s v="Cash"/>
        <s v="Online"/>
        <s v="Transfer"/>
        <s v="POS"/>
        <s v="transfr"/>
        <s v="Nill"/>
        <s v="bank transfer"/>
      </sharedItems>
    </cacheField>
    <cacheField name="Date" numFmtId="165">
      <sharedItems containsSemiMixedTypes="0" containsNonDate="0" containsDate="1" containsString="0" minDate="2025-01-07T00:00:00" maxDate="2025-12-07T00:00:00" count="36">
        <d v="2025-06-30T00:00:00"/>
        <d v="2025-06-13T00:00:00"/>
        <d v="2025-06-17T00:00:00"/>
        <d v="2025-06-28T00:00:00"/>
        <d v="2025-12-06T00:00:00"/>
        <d v="2025-06-20T00:00:00"/>
        <d v="2025-08-06T00:00:00"/>
        <d v="2025-06-14T00:00:00"/>
        <d v="2025-06-26T00:00:00"/>
        <d v="2025-06-22T00:00:00"/>
        <d v="2025-06-29T00:00:00"/>
        <d v="2025-02-07T00:00:00"/>
        <d v="2025-06-27T00:00:00"/>
        <d v="2025-06-18T00:00:00"/>
        <d v="2025-06-06T00:00:00"/>
        <d v="2025-07-06T00:00:00"/>
        <d v="2025-06-19T00:00:00"/>
        <d v="2025-06-21T00:00:00"/>
        <d v="2025-03-06T00:00:00"/>
        <d v="2025-05-06T00:00:00"/>
        <d v="2025-04-06T00:00:00"/>
        <d v="2025-06-24T00:00:00"/>
        <d v="2025-10-06T00:00:00"/>
        <d v="2025-06-23T00:00:00"/>
        <d v="2025-11-06T00:00:00"/>
        <d v="2025-06-25T00:00:00"/>
        <d v="2025-06-15T00:00:00"/>
        <d v="2025-06-09T00:00:00"/>
        <d v="2025-06-16T00:00:00"/>
        <d v="2025-09-06T00:00:00"/>
        <d v="2025-01-07T00:00:00"/>
        <d v="2025-06-10T00:00:00"/>
        <d v="2025-06-12T00:00:00"/>
        <d v="2025-06-05T00:00:00"/>
        <d v="2025-06-07T00:00:00"/>
        <d v="2025-06-11T00:00:00"/>
      </sharedItems>
      <fieldGroup par="12"/>
    </cacheField>
    <cacheField name="Location" numFmtId="0">
      <sharedItems count="7">
        <s v="Port Harcourt"/>
        <s v="Benin City"/>
        <s v="Lagos"/>
        <s v="Ibadan"/>
        <s v="Abuja"/>
        <s v="Kano"/>
        <s v="Nill"/>
      </sharedItems>
    </cacheField>
    <cacheField name="Days (Date)" numFmtId="0" databaseField="0">
      <fieldGroup base="9">
        <rangePr groupBy="days" startDate="2025-01-07T00:00:00" endDate="2025-12-07T00:00:00"/>
        <groupItems count="368">
          <s v="&lt;1/7/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7/2025"/>
        </groupItems>
      </fieldGroup>
    </cacheField>
    <cacheField name="Months (Date)" numFmtId="0" databaseField="0">
      <fieldGroup base="9">
        <rangePr groupBy="months" startDate="2025-01-07T00:00:00" endDate="2025-12-07T00:00:00"/>
        <groupItems count="14">
          <s v="&lt;1/7/2025"/>
          <s v="Jan"/>
          <s v="Feb"/>
          <s v="Mar"/>
          <s v="Apr"/>
          <s v="May"/>
          <s v="Jun"/>
          <s v="Jul"/>
          <s v="Aug"/>
          <s v="Sep"/>
          <s v="Oct"/>
          <s v="Nov"/>
          <s v="Dec"/>
          <s v="&gt;12/7/2025"/>
        </groupItems>
      </fieldGroup>
    </cacheField>
  </cacheFields>
  <extLst>
    <ext xmlns:x14="http://schemas.microsoft.com/office/spreadsheetml/2009/9/main" uri="{725AE2AE-9491-48be-B2B4-4EB974FC3084}">
      <x14:pivotCacheDefinition pivotCacheId="633702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s v="INV001"/>
    <x v="0"/>
    <x v="0"/>
    <x v="0"/>
    <x v="0"/>
    <n v="2"/>
    <n v="893"/>
    <n v="1786"/>
    <x v="0"/>
    <x v="0"/>
    <x v="0"/>
  </r>
  <r>
    <s v="INV002"/>
    <x v="1"/>
    <x v="0"/>
    <x v="1"/>
    <x v="1"/>
    <n v="5"/>
    <n v="983"/>
    <n v="4915"/>
    <x v="1"/>
    <x v="1"/>
    <x v="1"/>
  </r>
  <r>
    <s v="INV003"/>
    <x v="2"/>
    <x v="1"/>
    <x v="0"/>
    <x v="0"/>
    <n v="10"/>
    <n v="290"/>
    <n v="2900"/>
    <x v="2"/>
    <x v="2"/>
    <x v="2"/>
  </r>
  <r>
    <s v="INV004"/>
    <x v="3"/>
    <x v="0"/>
    <x v="2"/>
    <x v="2"/>
    <n v="7"/>
    <n v="407"/>
    <n v="2849"/>
    <x v="2"/>
    <x v="3"/>
    <x v="3"/>
  </r>
  <r>
    <s v="INV005"/>
    <x v="4"/>
    <x v="0"/>
    <x v="2"/>
    <x v="3"/>
    <n v="6"/>
    <n v="160"/>
    <n v="960"/>
    <x v="0"/>
    <x v="4"/>
    <x v="2"/>
  </r>
  <r>
    <s v="INV006"/>
    <x v="5"/>
    <x v="1"/>
    <x v="2"/>
    <x v="4"/>
    <n v="1"/>
    <n v="402"/>
    <n v="402"/>
    <x v="2"/>
    <x v="5"/>
    <x v="0"/>
  </r>
  <r>
    <s v="INV007"/>
    <x v="6"/>
    <x v="0"/>
    <x v="1"/>
    <x v="5"/>
    <n v="10"/>
    <n v="763"/>
    <n v="7630"/>
    <x v="2"/>
    <x v="6"/>
    <x v="3"/>
  </r>
  <r>
    <s v="INV008"/>
    <x v="7"/>
    <x v="0"/>
    <x v="3"/>
    <x v="6"/>
    <n v="3"/>
    <n v="392"/>
    <n v="1176"/>
    <x v="1"/>
    <x v="7"/>
    <x v="3"/>
  </r>
  <r>
    <s v="INV009"/>
    <x v="8"/>
    <x v="0"/>
    <x v="0"/>
    <x v="7"/>
    <n v="7"/>
    <n v="944"/>
    <n v="6608"/>
    <x v="3"/>
    <x v="8"/>
    <x v="0"/>
  </r>
  <r>
    <s v="INV010"/>
    <x v="9"/>
    <x v="0"/>
    <x v="1"/>
    <x v="1"/>
    <n v="5"/>
    <n v="593"/>
    <n v="2965"/>
    <x v="2"/>
    <x v="9"/>
    <x v="2"/>
  </r>
  <r>
    <s v="INV011"/>
    <x v="10"/>
    <x v="1"/>
    <x v="2"/>
    <x v="4"/>
    <n v="5"/>
    <n v="825"/>
    <n v="4125"/>
    <x v="3"/>
    <x v="0"/>
    <x v="1"/>
  </r>
  <r>
    <s v="INV012"/>
    <x v="11"/>
    <x v="1"/>
    <x v="3"/>
    <x v="8"/>
    <n v="3"/>
    <n v="122"/>
    <n v="366"/>
    <x v="1"/>
    <x v="4"/>
    <x v="1"/>
  </r>
  <r>
    <s v="INV013"/>
    <x v="12"/>
    <x v="1"/>
    <x v="1"/>
    <x v="5"/>
    <n v="8"/>
    <n v="320"/>
    <n v="2560"/>
    <x v="4"/>
    <x v="10"/>
    <x v="0"/>
  </r>
  <r>
    <s v="INV014"/>
    <x v="13"/>
    <x v="1"/>
    <x v="0"/>
    <x v="7"/>
    <n v="4"/>
    <n v="949"/>
    <n v="3796"/>
    <x v="1"/>
    <x v="11"/>
    <x v="0"/>
  </r>
  <r>
    <s v="INV015"/>
    <x v="14"/>
    <x v="1"/>
    <x v="2"/>
    <x v="9"/>
    <n v="3"/>
    <n v="698"/>
    <n v="2094"/>
    <x v="1"/>
    <x v="12"/>
    <x v="0"/>
  </r>
  <r>
    <s v="INV016"/>
    <x v="15"/>
    <x v="1"/>
    <x v="3"/>
    <x v="6"/>
    <n v="10"/>
    <n v="343"/>
    <n v="3430"/>
    <x v="3"/>
    <x v="3"/>
    <x v="4"/>
  </r>
  <r>
    <s v="INV017"/>
    <x v="16"/>
    <x v="1"/>
    <x v="1"/>
    <x v="5"/>
    <n v="5"/>
    <n v="583"/>
    <n v="2915"/>
    <x v="1"/>
    <x v="13"/>
    <x v="0"/>
  </r>
  <r>
    <s v="INV018"/>
    <x v="17"/>
    <x v="1"/>
    <x v="2"/>
    <x v="10"/>
    <n v="2"/>
    <n v="1000"/>
    <n v="2000"/>
    <x v="3"/>
    <x v="3"/>
    <x v="4"/>
  </r>
  <r>
    <s v="INV019"/>
    <x v="18"/>
    <x v="1"/>
    <x v="1"/>
    <x v="1"/>
    <n v="10"/>
    <n v="365"/>
    <n v="3650"/>
    <x v="0"/>
    <x v="14"/>
    <x v="3"/>
  </r>
  <r>
    <s v="INV020"/>
    <x v="19"/>
    <x v="1"/>
    <x v="1"/>
    <x v="11"/>
    <n v="10"/>
    <n v="256"/>
    <n v="2560"/>
    <x v="1"/>
    <x v="8"/>
    <x v="3"/>
  </r>
  <r>
    <s v="INV021"/>
    <x v="20"/>
    <x v="0"/>
    <x v="0"/>
    <x v="12"/>
    <n v="1"/>
    <n v="479"/>
    <n v="1221"/>
    <x v="2"/>
    <x v="15"/>
    <x v="5"/>
  </r>
  <r>
    <s v="INV022"/>
    <x v="21"/>
    <x v="0"/>
    <x v="3"/>
    <x v="6"/>
    <n v="4"/>
    <n v="97"/>
    <n v="388"/>
    <x v="1"/>
    <x v="5"/>
    <x v="5"/>
  </r>
  <r>
    <s v="INV023"/>
    <x v="22"/>
    <x v="1"/>
    <x v="3"/>
    <x v="6"/>
    <n v="5"/>
    <n v="168"/>
    <n v="840"/>
    <x v="3"/>
    <x v="16"/>
    <x v="4"/>
  </r>
  <r>
    <s v="INV024"/>
    <x v="23"/>
    <x v="0"/>
    <x v="1"/>
    <x v="1"/>
    <n v="10"/>
    <n v="579"/>
    <n v="5790"/>
    <x v="3"/>
    <x v="11"/>
    <x v="2"/>
  </r>
  <r>
    <s v="INV025"/>
    <x v="24"/>
    <x v="1"/>
    <x v="2"/>
    <x v="10"/>
    <n v="3"/>
    <n v="263"/>
    <n v="789"/>
    <x v="3"/>
    <x v="11"/>
    <x v="5"/>
  </r>
  <r>
    <s v="INV026"/>
    <x v="25"/>
    <x v="0"/>
    <x v="1"/>
    <x v="13"/>
    <n v="1"/>
    <n v="291"/>
    <n v="291"/>
    <x v="1"/>
    <x v="9"/>
    <x v="4"/>
  </r>
  <r>
    <s v="INV027"/>
    <x v="26"/>
    <x v="0"/>
    <x v="1"/>
    <x v="1"/>
    <n v="9"/>
    <n v="457"/>
    <n v="4113"/>
    <x v="0"/>
    <x v="10"/>
    <x v="1"/>
  </r>
  <r>
    <s v="INV028"/>
    <x v="27"/>
    <x v="0"/>
    <x v="2"/>
    <x v="10"/>
    <n v="3"/>
    <n v="772"/>
    <n v="2316"/>
    <x v="0"/>
    <x v="17"/>
    <x v="3"/>
  </r>
  <r>
    <s v="INV029"/>
    <x v="28"/>
    <x v="1"/>
    <x v="0"/>
    <x v="0"/>
    <n v="8"/>
    <n v="362"/>
    <n v="2896"/>
    <x v="1"/>
    <x v="18"/>
    <x v="0"/>
  </r>
  <r>
    <s v="INV030"/>
    <x v="29"/>
    <x v="0"/>
    <x v="2"/>
    <x v="3"/>
    <n v="1"/>
    <n v="274"/>
    <n v="274"/>
    <x v="2"/>
    <x v="19"/>
    <x v="5"/>
  </r>
  <r>
    <s v="INV031"/>
    <x v="30"/>
    <x v="0"/>
    <x v="0"/>
    <x v="14"/>
    <n v="10"/>
    <n v="104"/>
    <n v="1040"/>
    <x v="0"/>
    <x v="20"/>
    <x v="1"/>
  </r>
  <r>
    <s v="INV032"/>
    <x v="31"/>
    <x v="1"/>
    <x v="1"/>
    <x v="1"/>
    <n v="1"/>
    <n v="764"/>
    <n v="1359"/>
    <x v="3"/>
    <x v="3"/>
    <x v="0"/>
  </r>
  <r>
    <s v="INV033"/>
    <x v="32"/>
    <x v="0"/>
    <x v="2"/>
    <x v="10"/>
    <n v="9"/>
    <n v="192"/>
    <n v="1728"/>
    <x v="4"/>
    <x v="2"/>
    <x v="4"/>
  </r>
  <r>
    <s v="INV034"/>
    <x v="33"/>
    <x v="1"/>
    <x v="0"/>
    <x v="12"/>
    <n v="5"/>
    <n v="295"/>
    <n v="1475"/>
    <x v="0"/>
    <x v="10"/>
    <x v="4"/>
  </r>
  <r>
    <s v="INV035"/>
    <x v="34"/>
    <x v="1"/>
    <x v="3"/>
    <x v="8"/>
    <n v="10"/>
    <n v="536"/>
    <n v="5360"/>
    <x v="3"/>
    <x v="15"/>
    <x v="1"/>
  </r>
  <r>
    <s v="INV036"/>
    <x v="35"/>
    <x v="0"/>
    <x v="0"/>
    <x v="15"/>
    <n v="7"/>
    <n v="228"/>
    <n v="1596"/>
    <x v="2"/>
    <x v="21"/>
    <x v="1"/>
  </r>
  <r>
    <s v="INV037"/>
    <x v="36"/>
    <x v="0"/>
    <x v="1"/>
    <x v="16"/>
    <n v="10"/>
    <n v="711"/>
    <n v="7110"/>
    <x v="1"/>
    <x v="9"/>
    <x v="0"/>
  </r>
  <r>
    <s v="INV038"/>
    <x v="37"/>
    <x v="1"/>
    <x v="0"/>
    <x v="15"/>
    <n v="9"/>
    <n v="992"/>
    <n v="8928"/>
    <x v="0"/>
    <x v="16"/>
    <x v="0"/>
  </r>
  <r>
    <s v="INV039"/>
    <x v="38"/>
    <x v="0"/>
    <x v="3"/>
    <x v="8"/>
    <n v="2"/>
    <n v="395"/>
    <n v="790"/>
    <x v="0"/>
    <x v="14"/>
    <x v="2"/>
  </r>
  <r>
    <s v="INV040"/>
    <x v="39"/>
    <x v="0"/>
    <x v="0"/>
    <x v="7"/>
    <n v="10"/>
    <n v="524"/>
    <n v="5240"/>
    <x v="0"/>
    <x v="5"/>
    <x v="5"/>
  </r>
  <r>
    <s v="INV041"/>
    <x v="40"/>
    <x v="0"/>
    <x v="0"/>
    <x v="14"/>
    <n v="1"/>
    <n v="729"/>
    <n v="729"/>
    <x v="3"/>
    <x v="22"/>
    <x v="4"/>
  </r>
  <r>
    <s v="INV042"/>
    <x v="41"/>
    <x v="0"/>
    <x v="3"/>
    <x v="17"/>
    <n v="8"/>
    <n v="794"/>
    <n v="6352"/>
    <x v="1"/>
    <x v="23"/>
    <x v="2"/>
  </r>
  <r>
    <s v="INV043"/>
    <x v="42"/>
    <x v="1"/>
    <x v="2"/>
    <x v="9"/>
    <n v="8"/>
    <n v="999"/>
    <n v="7992"/>
    <x v="3"/>
    <x v="24"/>
    <x v="0"/>
  </r>
  <r>
    <s v="INV044"/>
    <x v="43"/>
    <x v="0"/>
    <x v="0"/>
    <x v="7"/>
    <n v="1"/>
    <n v="137"/>
    <n v="137"/>
    <x v="2"/>
    <x v="12"/>
    <x v="5"/>
  </r>
  <r>
    <s v="INV045"/>
    <x v="44"/>
    <x v="0"/>
    <x v="1"/>
    <x v="5"/>
    <n v="3"/>
    <n v="605"/>
    <n v="1815"/>
    <x v="2"/>
    <x v="7"/>
    <x v="5"/>
  </r>
  <r>
    <s v="INV046"/>
    <x v="45"/>
    <x v="0"/>
    <x v="0"/>
    <x v="7"/>
    <n v="3"/>
    <n v="828"/>
    <n v="2484"/>
    <x v="0"/>
    <x v="21"/>
    <x v="3"/>
  </r>
  <r>
    <s v="INV047"/>
    <x v="46"/>
    <x v="1"/>
    <x v="3"/>
    <x v="17"/>
    <n v="2"/>
    <n v="73"/>
    <n v="146"/>
    <x v="0"/>
    <x v="10"/>
    <x v="0"/>
  </r>
  <r>
    <s v="INV048"/>
    <x v="47"/>
    <x v="0"/>
    <x v="3"/>
    <x v="6"/>
    <n v="10"/>
    <n v="772"/>
    <n v="7720"/>
    <x v="3"/>
    <x v="12"/>
    <x v="0"/>
  </r>
  <r>
    <s v="INV049"/>
    <x v="48"/>
    <x v="1"/>
    <x v="1"/>
    <x v="13"/>
    <n v="9"/>
    <n v="980"/>
    <n v="8820"/>
    <x v="3"/>
    <x v="13"/>
    <x v="5"/>
  </r>
  <r>
    <s v="INV050"/>
    <x v="49"/>
    <x v="1"/>
    <x v="2"/>
    <x v="18"/>
    <n v="5"/>
    <n v="529"/>
    <n v="2645"/>
    <x v="3"/>
    <x v="10"/>
    <x v="2"/>
  </r>
  <r>
    <s v="INV051"/>
    <x v="50"/>
    <x v="0"/>
    <x v="1"/>
    <x v="16"/>
    <n v="5"/>
    <n v="746"/>
    <n v="3730"/>
    <x v="1"/>
    <x v="18"/>
    <x v="0"/>
  </r>
  <r>
    <s v="INV052"/>
    <x v="51"/>
    <x v="1"/>
    <x v="2"/>
    <x v="3"/>
    <n v="5"/>
    <n v="173"/>
    <n v="865"/>
    <x v="0"/>
    <x v="14"/>
    <x v="3"/>
  </r>
  <r>
    <s v="INV053"/>
    <x v="52"/>
    <x v="0"/>
    <x v="2"/>
    <x v="4"/>
    <n v="7"/>
    <n v="710"/>
    <n v="4970"/>
    <x v="1"/>
    <x v="7"/>
    <x v="3"/>
  </r>
  <r>
    <s v="INV054"/>
    <x v="53"/>
    <x v="0"/>
    <x v="2"/>
    <x v="9"/>
    <n v="5"/>
    <n v="295"/>
    <n v="1475"/>
    <x v="1"/>
    <x v="14"/>
    <x v="0"/>
  </r>
  <r>
    <s v="INV055"/>
    <x v="54"/>
    <x v="1"/>
    <x v="1"/>
    <x v="11"/>
    <n v="3"/>
    <n v="227"/>
    <n v="681"/>
    <x v="2"/>
    <x v="22"/>
    <x v="3"/>
  </r>
  <r>
    <s v="INV056"/>
    <x v="55"/>
    <x v="0"/>
    <x v="1"/>
    <x v="13"/>
    <n v="4"/>
    <n v="777"/>
    <n v="3108"/>
    <x v="3"/>
    <x v="21"/>
    <x v="4"/>
  </r>
  <r>
    <s v="INV057"/>
    <x v="56"/>
    <x v="1"/>
    <x v="0"/>
    <x v="12"/>
    <n v="6"/>
    <n v="400"/>
    <n v="2400"/>
    <x v="2"/>
    <x v="18"/>
    <x v="2"/>
  </r>
  <r>
    <s v="INV058"/>
    <x v="57"/>
    <x v="1"/>
    <x v="0"/>
    <x v="7"/>
    <n v="5"/>
    <n v="364"/>
    <n v="1820"/>
    <x v="2"/>
    <x v="5"/>
    <x v="1"/>
  </r>
  <r>
    <s v="INV059"/>
    <x v="58"/>
    <x v="2"/>
    <x v="2"/>
    <x v="9"/>
    <n v="3"/>
    <n v="825"/>
    <n v="2475"/>
    <x v="0"/>
    <x v="3"/>
    <x v="2"/>
  </r>
  <r>
    <s v="INV060"/>
    <x v="59"/>
    <x v="1"/>
    <x v="0"/>
    <x v="12"/>
    <n v="7"/>
    <n v="841"/>
    <n v="5887"/>
    <x v="3"/>
    <x v="6"/>
    <x v="1"/>
  </r>
  <r>
    <s v="INV061"/>
    <x v="60"/>
    <x v="0"/>
    <x v="1"/>
    <x v="11"/>
    <n v="6"/>
    <n v="54"/>
    <n v="324"/>
    <x v="2"/>
    <x v="4"/>
    <x v="0"/>
  </r>
  <r>
    <s v="INV062"/>
    <x v="61"/>
    <x v="1"/>
    <x v="3"/>
    <x v="19"/>
    <n v="1"/>
    <n v="431"/>
    <n v="431"/>
    <x v="1"/>
    <x v="25"/>
    <x v="0"/>
  </r>
  <r>
    <s v="INV063"/>
    <x v="62"/>
    <x v="0"/>
    <x v="0"/>
    <x v="12"/>
    <n v="3"/>
    <n v="9450"/>
    <n v="567"/>
    <x v="1"/>
    <x v="9"/>
    <x v="1"/>
  </r>
  <r>
    <s v="INV064"/>
    <x v="63"/>
    <x v="1"/>
    <x v="3"/>
    <x v="20"/>
    <n v="5"/>
    <n v="761"/>
    <n v="3805"/>
    <x v="0"/>
    <x v="26"/>
    <x v="5"/>
  </r>
  <r>
    <s v="INV065"/>
    <x v="64"/>
    <x v="0"/>
    <x v="0"/>
    <x v="0"/>
    <n v="5"/>
    <n v="280"/>
    <n v="1400"/>
    <x v="2"/>
    <x v="19"/>
    <x v="4"/>
  </r>
  <r>
    <s v="INV066"/>
    <x v="65"/>
    <x v="0"/>
    <x v="2"/>
    <x v="9"/>
    <n v="4"/>
    <n v="528"/>
    <n v="2610"/>
    <x v="1"/>
    <x v="10"/>
    <x v="1"/>
  </r>
  <r>
    <s v="INV067"/>
    <x v="66"/>
    <x v="1"/>
    <x v="2"/>
    <x v="9"/>
    <n v="4"/>
    <n v="212"/>
    <n v="848"/>
    <x v="2"/>
    <x v="27"/>
    <x v="0"/>
  </r>
  <r>
    <s v="INV068"/>
    <x v="67"/>
    <x v="0"/>
    <x v="1"/>
    <x v="13"/>
    <n v="9"/>
    <n v="713"/>
    <n v="6417"/>
    <x v="3"/>
    <x v="26"/>
    <x v="1"/>
  </r>
  <r>
    <s v="INV069"/>
    <x v="68"/>
    <x v="1"/>
    <x v="2"/>
    <x v="3"/>
    <n v="10"/>
    <n v="461"/>
    <n v="4610"/>
    <x v="3"/>
    <x v="20"/>
    <x v="4"/>
  </r>
  <r>
    <s v="INV070"/>
    <x v="69"/>
    <x v="0"/>
    <x v="0"/>
    <x v="15"/>
    <n v="8"/>
    <n v="472"/>
    <n v="3776"/>
    <x v="3"/>
    <x v="26"/>
    <x v="1"/>
  </r>
  <r>
    <s v="INV071"/>
    <x v="70"/>
    <x v="0"/>
    <x v="2"/>
    <x v="3"/>
    <n v="6"/>
    <n v="599"/>
    <n v="3594"/>
    <x v="5"/>
    <x v="23"/>
    <x v="4"/>
  </r>
  <r>
    <s v="INV072"/>
    <x v="71"/>
    <x v="1"/>
    <x v="0"/>
    <x v="14"/>
    <n v="9"/>
    <n v="927"/>
    <n v="8343"/>
    <x v="3"/>
    <x v="20"/>
    <x v="4"/>
  </r>
  <r>
    <s v="INV073"/>
    <x v="72"/>
    <x v="0"/>
    <x v="2"/>
    <x v="3"/>
    <n v="6"/>
    <n v="717"/>
    <n v="4302"/>
    <x v="3"/>
    <x v="28"/>
    <x v="2"/>
  </r>
  <r>
    <s v="INV074"/>
    <x v="73"/>
    <x v="1"/>
    <x v="2"/>
    <x v="10"/>
    <n v="1"/>
    <n v="106"/>
    <n v="106"/>
    <x v="5"/>
    <x v="29"/>
    <x v="1"/>
  </r>
  <r>
    <s v="INV075"/>
    <x v="74"/>
    <x v="0"/>
    <x v="3"/>
    <x v="6"/>
    <n v="2"/>
    <n v="252"/>
    <n v="504"/>
    <x v="0"/>
    <x v="5"/>
    <x v="4"/>
  </r>
  <r>
    <s v="INV076"/>
    <x v="75"/>
    <x v="0"/>
    <x v="1"/>
    <x v="13"/>
    <n v="2"/>
    <n v="735"/>
    <n v="1470"/>
    <x v="3"/>
    <x v="30"/>
    <x v="5"/>
  </r>
  <r>
    <s v="INV077"/>
    <x v="76"/>
    <x v="0"/>
    <x v="0"/>
    <x v="14"/>
    <n v="3"/>
    <n v="829"/>
    <n v="2487"/>
    <x v="1"/>
    <x v="26"/>
    <x v="5"/>
  </r>
  <r>
    <s v="INV078"/>
    <x v="77"/>
    <x v="1"/>
    <x v="3"/>
    <x v="8"/>
    <n v="1"/>
    <n v="187"/>
    <n v="187"/>
    <x v="0"/>
    <x v="18"/>
    <x v="4"/>
  </r>
  <r>
    <s v="INV079"/>
    <x v="78"/>
    <x v="1"/>
    <x v="1"/>
    <x v="11"/>
    <n v="1"/>
    <n v="249"/>
    <n v="249"/>
    <x v="1"/>
    <x v="26"/>
    <x v="5"/>
  </r>
  <r>
    <s v="INV080"/>
    <x v="79"/>
    <x v="1"/>
    <x v="1"/>
    <x v="5"/>
    <n v="8"/>
    <n v="59"/>
    <n v="472"/>
    <x v="2"/>
    <x v="29"/>
    <x v="0"/>
  </r>
  <r>
    <s v="INV081"/>
    <x v="80"/>
    <x v="0"/>
    <x v="2"/>
    <x v="4"/>
    <n v="6"/>
    <n v="122"/>
    <n v="732"/>
    <x v="0"/>
    <x v="21"/>
    <x v="1"/>
  </r>
  <r>
    <s v="INV082"/>
    <x v="81"/>
    <x v="0"/>
    <x v="3"/>
    <x v="19"/>
    <n v="9"/>
    <n v="679"/>
    <n v="6111"/>
    <x v="3"/>
    <x v="17"/>
    <x v="5"/>
  </r>
  <r>
    <s v="INV083"/>
    <x v="82"/>
    <x v="0"/>
    <x v="3"/>
    <x v="6"/>
    <n v="1"/>
    <n v="253"/>
    <n v="253"/>
    <x v="0"/>
    <x v="26"/>
    <x v="2"/>
  </r>
  <r>
    <s v="INV084"/>
    <x v="83"/>
    <x v="1"/>
    <x v="2"/>
    <x v="9"/>
    <n v="7"/>
    <n v="471"/>
    <n v="3297"/>
    <x v="0"/>
    <x v="10"/>
    <x v="0"/>
  </r>
  <r>
    <s v="INV085"/>
    <x v="84"/>
    <x v="0"/>
    <x v="2"/>
    <x v="10"/>
    <n v="5"/>
    <n v="478"/>
    <n v="2390"/>
    <x v="1"/>
    <x v="11"/>
    <x v="0"/>
  </r>
  <r>
    <s v="INV086"/>
    <x v="85"/>
    <x v="0"/>
    <x v="1"/>
    <x v="16"/>
    <n v="4"/>
    <n v="516"/>
    <n v="2064"/>
    <x v="0"/>
    <x v="4"/>
    <x v="4"/>
  </r>
  <r>
    <s v="INV087"/>
    <x v="86"/>
    <x v="1"/>
    <x v="1"/>
    <x v="13"/>
    <n v="1"/>
    <n v="174"/>
    <n v="174"/>
    <x v="6"/>
    <x v="28"/>
    <x v="1"/>
  </r>
  <r>
    <s v="INV088"/>
    <x v="87"/>
    <x v="1"/>
    <x v="1"/>
    <x v="13"/>
    <n v="7"/>
    <n v="392"/>
    <n v="2744"/>
    <x v="1"/>
    <x v="18"/>
    <x v="3"/>
  </r>
  <r>
    <s v="INV089"/>
    <x v="88"/>
    <x v="0"/>
    <x v="0"/>
    <x v="7"/>
    <n v="10"/>
    <n v="423"/>
    <n v="4230"/>
    <x v="2"/>
    <x v="28"/>
    <x v="0"/>
  </r>
  <r>
    <s v="INV090"/>
    <x v="89"/>
    <x v="0"/>
    <x v="2"/>
    <x v="10"/>
    <n v="3"/>
    <n v="843"/>
    <n v="2529"/>
    <x v="1"/>
    <x v="13"/>
    <x v="1"/>
  </r>
  <r>
    <s v="INV091"/>
    <x v="90"/>
    <x v="1"/>
    <x v="3"/>
    <x v="17"/>
    <n v="4"/>
    <n v="433"/>
    <n v="1732"/>
    <x v="6"/>
    <x v="29"/>
    <x v="3"/>
  </r>
  <r>
    <s v="INV092"/>
    <x v="91"/>
    <x v="1"/>
    <x v="2"/>
    <x v="18"/>
    <n v="4"/>
    <n v="157"/>
    <n v="628"/>
    <x v="2"/>
    <x v="31"/>
    <x v="4"/>
  </r>
  <r>
    <s v="INV093"/>
    <x v="92"/>
    <x v="0"/>
    <x v="3"/>
    <x v="20"/>
    <n v="3"/>
    <n v="910"/>
    <n v="2730"/>
    <x v="3"/>
    <x v="12"/>
    <x v="4"/>
  </r>
  <r>
    <s v="INV094"/>
    <x v="93"/>
    <x v="1"/>
    <x v="3"/>
    <x v="8"/>
    <n v="2"/>
    <n v="958"/>
    <n v="1916"/>
    <x v="1"/>
    <x v="28"/>
    <x v="3"/>
  </r>
  <r>
    <s v="INV095"/>
    <x v="94"/>
    <x v="0"/>
    <x v="3"/>
    <x v="20"/>
    <n v="10"/>
    <n v="975"/>
    <n v="9750"/>
    <x v="1"/>
    <x v="3"/>
    <x v="0"/>
  </r>
  <r>
    <s v="INV096"/>
    <x v="95"/>
    <x v="1"/>
    <x v="3"/>
    <x v="8"/>
    <n v="8"/>
    <n v="988"/>
    <n v="7904"/>
    <x v="2"/>
    <x v="24"/>
    <x v="0"/>
  </r>
  <r>
    <s v="INV097"/>
    <x v="96"/>
    <x v="0"/>
    <x v="1"/>
    <x v="1"/>
    <n v="5"/>
    <n v="850"/>
    <n v="4250"/>
    <x v="3"/>
    <x v="11"/>
    <x v="2"/>
  </r>
  <r>
    <s v="INV098"/>
    <x v="97"/>
    <x v="1"/>
    <x v="2"/>
    <x v="4"/>
    <n v="6"/>
    <n v="739"/>
    <n v="4434"/>
    <x v="5"/>
    <x v="18"/>
    <x v="2"/>
  </r>
  <r>
    <s v="INV099"/>
    <x v="98"/>
    <x v="1"/>
    <x v="1"/>
    <x v="11"/>
    <n v="7"/>
    <n v="241"/>
    <n v="1687"/>
    <x v="0"/>
    <x v="5"/>
    <x v="5"/>
  </r>
  <r>
    <s v="INV100"/>
    <x v="99"/>
    <x v="0"/>
    <x v="1"/>
    <x v="11"/>
    <n v="3"/>
    <n v="727"/>
    <n v="2181"/>
    <x v="2"/>
    <x v="29"/>
    <x v="5"/>
  </r>
  <r>
    <s v="INV101"/>
    <x v="100"/>
    <x v="1"/>
    <x v="1"/>
    <x v="16"/>
    <n v="9"/>
    <n v="826"/>
    <n v="7434"/>
    <x v="3"/>
    <x v="9"/>
    <x v="2"/>
  </r>
  <r>
    <s v="INV102"/>
    <x v="101"/>
    <x v="1"/>
    <x v="2"/>
    <x v="3"/>
    <n v="9"/>
    <n v="53"/>
    <n v="477"/>
    <x v="3"/>
    <x v="11"/>
    <x v="1"/>
  </r>
  <r>
    <s v="INV103"/>
    <x v="102"/>
    <x v="0"/>
    <x v="0"/>
    <x v="0"/>
    <n v="3"/>
    <n v="272"/>
    <n v="816"/>
    <x v="3"/>
    <x v="18"/>
    <x v="0"/>
  </r>
  <r>
    <s v="INV104"/>
    <x v="103"/>
    <x v="1"/>
    <x v="3"/>
    <x v="19"/>
    <n v="8"/>
    <n v="814"/>
    <n v="6512"/>
    <x v="2"/>
    <x v="32"/>
    <x v="1"/>
  </r>
  <r>
    <s v="INV105"/>
    <x v="104"/>
    <x v="0"/>
    <x v="1"/>
    <x v="11"/>
    <n v="8"/>
    <n v="685"/>
    <n v="6216"/>
    <x v="1"/>
    <x v="25"/>
    <x v="3"/>
  </r>
  <r>
    <s v="INV106"/>
    <x v="105"/>
    <x v="1"/>
    <x v="1"/>
    <x v="1"/>
    <n v="1"/>
    <n v="27300"/>
    <n v="546"/>
    <x v="0"/>
    <x v="23"/>
    <x v="4"/>
  </r>
  <r>
    <s v="INV107"/>
    <x v="106"/>
    <x v="1"/>
    <x v="1"/>
    <x v="5"/>
    <n v="2"/>
    <n v="721"/>
    <n v="1442"/>
    <x v="1"/>
    <x v="19"/>
    <x v="6"/>
  </r>
  <r>
    <s v="INV108"/>
    <x v="107"/>
    <x v="0"/>
    <x v="1"/>
    <x v="1"/>
    <n v="5"/>
    <n v="812"/>
    <n v="4060"/>
    <x v="2"/>
    <x v="30"/>
    <x v="0"/>
  </r>
  <r>
    <s v="INV109"/>
    <x v="108"/>
    <x v="1"/>
    <x v="2"/>
    <x v="3"/>
    <n v="8"/>
    <n v="335"/>
    <n v="2680"/>
    <x v="0"/>
    <x v="30"/>
    <x v="4"/>
  </r>
  <r>
    <s v="INV110"/>
    <x v="109"/>
    <x v="0"/>
    <x v="0"/>
    <x v="12"/>
    <n v="7"/>
    <n v="756"/>
    <n v="5292"/>
    <x v="3"/>
    <x v="16"/>
    <x v="5"/>
  </r>
  <r>
    <s v="INV111"/>
    <x v="110"/>
    <x v="0"/>
    <x v="3"/>
    <x v="8"/>
    <n v="8"/>
    <n v="693"/>
    <n v="5544"/>
    <x v="3"/>
    <x v="6"/>
    <x v="5"/>
  </r>
  <r>
    <s v="INV112"/>
    <x v="111"/>
    <x v="1"/>
    <x v="1"/>
    <x v="13"/>
    <n v="10"/>
    <n v="981"/>
    <n v="9810"/>
    <x v="0"/>
    <x v="20"/>
    <x v="1"/>
  </r>
  <r>
    <s v="INV113"/>
    <x v="112"/>
    <x v="1"/>
    <x v="0"/>
    <x v="7"/>
    <n v="140"/>
    <n v="718"/>
    <n v="5026"/>
    <x v="2"/>
    <x v="18"/>
    <x v="4"/>
  </r>
  <r>
    <s v="INV114"/>
    <x v="113"/>
    <x v="1"/>
    <x v="3"/>
    <x v="19"/>
    <n v="6"/>
    <n v="946"/>
    <n v="5676"/>
    <x v="0"/>
    <x v="24"/>
    <x v="0"/>
  </r>
  <r>
    <s v="INV115"/>
    <x v="114"/>
    <x v="0"/>
    <x v="3"/>
    <x v="19"/>
    <n v="8"/>
    <n v="681"/>
    <n v="5448"/>
    <x v="1"/>
    <x v="21"/>
    <x v="0"/>
  </r>
  <r>
    <s v="INV116"/>
    <x v="115"/>
    <x v="1"/>
    <x v="3"/>
    <x v="20"/>
    <n v="5"/>
    <n v="278"/>
    <n v="1390"/>
    <x v="1"/>
    <x v="26"/>
    <x v="1"/>
  </r>
  <r>
    <s v="INV117"/>
    <x v="116"/>
    <x v="0"/>
    <x v="0"/>
    <x v="7"/>
    <n v="4"/>
    <n v="931"/>
    <n v="3724"/>
    <x v="1"/>
    <x v="14"/>
    <x v="1"/>
  </r>
  <r>
    <s v="INV118"/>
    <x v="117"/>
    <x v="0"/>
    <x v="2"/>
    <x v="3"/>
    <n v="10"/>
    <n v="957"/>
    <n v="9570"/>
    <x v="2"/>
    <x v="18"/>
    <x v="5"/>
  </r>
  <r>
    <s v="INV119"/>
    <x v="118"/>
    <x v="1"/>
    <x v="2"/>
    <x v="4"/>
    <n v="7"/>
    <n v="905"/>
    <n v="6335"/>
    <x v="3"/>
    <x v="11"/>
    <x v="1"/>
  </r>
  <r>
    <s v="INV120"/>
    <x v="119"/>
    <x v="0"/>
    <x v="1"/>
    <x v="13"/>
    <n v="1"/>
    <n v="660"/>
    <n v="660"/>
    <x v="3"/>
    <x v="25"/>
    <x v="5"/>
  </r>
  <r>
    <s v="INV121"/>
    <x v="120"/>
    <x v="0"/>
    <x v="0"/>
    <x v="7"/>
    <n v="4"/>
    <n v="986"/>
    <n v="3944"/>
    <x v="0"/>
    <x v="13"/>
    <x v="6"/>
  </r>
  <r>
    <s v="INV122"/>
    <x v="121"/>
    <x v="1"/>
    <x v="1"/>
    <x v="1"/>
    <n v="2"/>
    <n v="435"/>
    <n v="870"/>
    <x v="3"/>
    <x v="20"/>
    <x v="3"/>
  </r>
  <r>
    <s v="INV123"/>
    <x v="122"/>
    <x v="0"/>
    <x v="0"/>
    <x v="14"/>
    <n v="9"/>
    <n v="252"/>
    <n v="2268"/>
    <x v="0"/>
    <x v="17"/>
    <x v="2"/>
  </r>
  <r>
    <s v="INV124"/>
    <x v="123"/>
    <x v="1"/>
    <x v="0"/>
    <x v="15"/>
    <n v="5"/>
    <n v="136"/>
    <n v="680"/>
    <x v="1"/>
    <x v="2"/>
    <x v="1"/>
  </r>
  <r>
    <s v="INV125"/>
    <x v="124"/>
    <x v="1"/>
    <x v="3"/>
    <x v="20"/>
    <n v="2"/>
    <n v="716"/>
    <n v="1432"/>
    <x v="0"/>
    <x v="17"/>
    <x v="5"/>
  </r>
  <r>
    <s v="INV126"/>
    <x v="125"/>
    <x v="1"/>
    <x v="1"/>
    <x v="11"/>
    <n v="7"/>
    <n v="846"/>
    <n v="5922"/>
    <x v="1"/>
    <x v="1"/>
    <x v="0"/>
  </r>
  <r>
    <s v="INV127"/>
    <x v="126"/>
    <x v="0"/>
    <x v="2"/>
    <x v="9"/>
    <n v="7"/>
    <n v="848"/>
    <n v="5936"/>
    <x v="0"/>
    <x v="33"/>
    <x v="5"/>
  </r>
  <r>
    <s v="INV128"/>
    <x v="127"/>
    <x v="0"/>
    <x v="2"/>
    <x v="4"/>
    <n v="9"/>
    <n v="578"/>
    <n v="5202"/>
    <x v="1"/>
    <x v="5"/>
    <x v="4"/>
  </r>
  <r>
    <s v="INV129"/>
    <x v="128"/>
    <x v="1"/>
    <x v="1"/>
    <x v="1"/>
    <n v="8"/>
    <n v="657"/>
    <n v="5256"/>
    <x v="1"/>
    <x v="13"/>
    <x v="1"/>
  </r>
  <r>
    <s v="INV130"/>
    <x v="129"/>
    <x v="0"/>
    <x v="0"/>
    <x v="14"/>
    <n v="3"/>
    <n v="943"/>
    <n v="2829"/>
    <x v="0"/>
    <x v="8"/>
    <x v="3"/>
  </r>
  <r>
    <s v="INV131"/>
    <x v="130"/>
    <x v="0"/>
    <x v="3"/>
    <x v="17"/>
    <n v="2"/>
    <n v="845"/>
    <n v="1690"/>
    <x v="3"/>
    <x v="26"/>
    <x v="5"/>
  </r>
  <r>
    <s v="INV132"/>
    <x v="131"/>
    <x v="0"/>
    <x v="2"/>
    <x v="3"/>
    <n v="10"/>
    <n v="622"/>
    <n v="6220"/>
    <x v="1"/>
    <x v="22"/>
    <x v="5"/>
  </r>
  <r>
    <s v="INV133"/>
    <x v="132"/>
    <x v="0"/>
    <x v="3"/>
    <x v="19"/>
    <n v="10"/>
    <n v="210"/>
    <n v="2100"/>
    <x v="0"/>
    <x v="21"/>
    <x v="5"/>
  </r>
  <r>
    <s v="INV134"/>
    <x v="133"/>
    <x v="1"/>
    <x v="2"/>
    <x v="9"/>
    <n v="2"/>
    <n v="908"/>
    <n v="1816"/>
    <x v="2"/>
    <x v="22"/>
    <x v="2"/>
  </r>
  <r>
    <s v="INV135"/>
    <x v="134"/>
    <x v="1"/>
    <x v="2"/>
    <x v="10"/>
    <n v="1"/>
    <n v="128"/>
    <n v="128"/>
    <x v="2"/>
    <x v="29"/>
    <x v="1"/>
  </r>
  <r>
    <s v="INV136"/>
    <x v="135"/>
    <x v="0"/>
    <x v="3"/>
    <x v="8"/>
    <n v="10"/>
    <n v="908"/>
    <n v="9080"/>
    <x v="1"/>
    <x v="23"/>
    <x v="2"/>
  </r>
  <r>
    <s v="INV137"/>
    <x v="136"/>
    <x v="0"/>
    <x v="1"/>
    <x v="13"/>
    <n v="4"/>
    <n v="663"/>
    <n v="2652"/>
    <x v="1"/>
    <x v="3"/>
    <x v="5"/>
  </r>
  <r>
    <s v="INV138"/>
    <x v="137"/>
    <x v="0"/>
    <x v="1"/>
    <x v="16"/>
    <n v="6"/>
    <n v="321"/>
    <n v="2776"/>
    <x v="3"/>
    <x v="20"/>
    <x v="4"/>
  </r>
  <r>
    <s v="INV139"/>
    <x v="138"/>
    <x v="1"/>
    <x v="0"/>
    <x v="15"/>
    <n v="8"/>
    <n v="372"/>
    <n v="2976"/>
    <x v="1"/>
    <x v="12"/>
    <x v="4"/>
  </r>
  <r>
    <s v="INV140"/>
    <x v="139"/>
    <x v="1"/>
    <x v="2"/>
    <x v="9"/>
    <n v="8"/>
    <n v="656"/>
    <n v="5248"/>
    <x v="1"/>
    <x v="14"/>
    <x v="0"/>
  </r>
  <r>
    <s v="INV141"/>
    <x v="140"/>
    <x v="1"/>
    <x v="0"/>
    <x v="14"/>
    <n v="4"/>
    <n v="352"/>
    <n v="1408"/>
    <x v="6"/>
    <x v="6"/>
    <x v="1"/>
  </r>
  <r>
    <s v="INV142"/>
    <x v="141"/>
    <x v="1"/>
    <x v="0"/>
    <x v="7"/>
    <n v="8"/>
    <n v="678"/>
    <n v="5424"/>
    <x v="1"/>
    <x v="12"/>
    <x v="4"/>
  </r>
  <r>
    <s v="INV143"/>
    <x v="142"/>
    <x v="1"/>
    <x v="0"/>
    <x v="2"/>
    <n v="1"/>
    <n v="527"/>
    <n v="527"/>
    <x v="2"/>
    <x v="6"/>
    <x v="3"/>
  </r>
  <r>
    <s v="INV144"/>
    <x v="143"/>
    <x v="1"/>
    <x v="3"/>
    <x v="8"/>
    <n v="4"/>
    <n v="795"/>
    <n v="3180"/>
    <x v="2"/>
    <x v="0"/>
    <x v="0"/>
  </r>
  <r>
    <s v="INV145"/>
    <x v="24"/>
    <x v="1"/>
    <x v="2"/>
    <x v="4"/>
    <n v="8"/>
    <n v="644"/>
    <n v="5152"/>
    <x v="4"/>
    <x v="22"/>
    <x v="2"/>
  </r>
  <r>
    <s v="INV146"/>
    <x v="144"/>
    <x v="1"/>
    <x v="0"/>
    <x v="14"/>
    <n v="3"/>
    <n v="863"/>
    <n v="2589"/>
    <x v="1"/>
    <x v="25"/>
    <x v="4"/>
  </r>
  <r>
    <s v="INV147"/>
    <x v="145"/>
    <x v="1"/>
    <x v="3"/>
    <x v="8"/>
    <n v="2"/>
    <n v="503"/>
    <n v="1006"/>
    <x v="1"/>
    <x v="10"/>
    <x v="2"/>
  </r>
  <r>
    <s v="INV148"/>
    <x v="146"/>
    <x v="1"/>
    <x v="3"/>
    <x v="17"/>
    <n v="1"/>
    <n v="326"/>
    <n v="326"/>
    <x v="1"/>
    <x v="6"/>
    <x v="4"/>
  </r>
  <r>
    <s v="INV149"/>
    <x v="147"/>
    <x v="1"/>
    <x v="1"/>
    <x v="16"/>
    <n v="7"/>
    <n v="987"/>
    <n v="6909"/>
    <x v="2"/>
    <x v="25"/>
    <x v="5"/>
  </r>
  <r>
    <s v="INV150"/>
    <x v="148"/>
    <x v="1"/>
    <x v="0"/>
    <x v="15"/>
    <n v="5"/>
    <n v="494"/>
    <n v="2470"/>
    <x v="3"/>
    <x v="11"/>
    <x v="0"/>
  </r>
  <r>
    <s v="INV151"/>
    <x v="149"/>
    <x v="0"/>
    <x v="1"/>
    <x v="13"/>
    <n v="3"/>
    <n v="747"/>
    <n v="2241"/>
    <x v="1"/>
    <x v="2"/>
    <x v="2"/>
  </r>
  <r>
    <s v="INV152"/>
    <x v="150"/>
    <x v="1"/>
    <x v="1"/>
    <x v="11"/>
    <n v="6"/>
    <n v="740"/>
    <n v="4440"/>
    <x v="3"/>
    <x v="34"/>
    <x v="1"/>
  </r>
  <r>
    <s v="INV153"/>
    <x v="151"/>
    <x v="1"/>
    <x v="0"/>
    <x v="7"/>
    <n v="6"/>
    <n v="361"/>
    <n v="2166"/>
    <x v="3"/>
    <x v="5"/>
    <x v="1"/>
  </r>
  <r>
    <s v="INV154"/>
    <x v="152"/>
    <x v="0"/>
    <x v="0"/>
    <x v="7"/>
    <n v="10"/>
    <n v="128"/>
    <n v="1280"/>
    <x v="3"/>
    <x v="24"/>
    <x v="1"/>
  </r>
  <r>
    <s v="INV155"/>
    <x v="153"/>
    <x v="0"/>
    <x v="2"/>
    <x v="3"/>
    <n v="9"/>
    <n v="818"/>
    <n v="7362"/>
    <x v="2"/>
    <x v="25"/>
    <x v="6"/>
  </r>
  <r>
    <s v="INV156"/>
    <x v="154"/>
    <x v="0"/>
    <x v="2"/>
    <x v="9"/>
    <n v="8"/>
    <n v="196"/>
    <n v="1568"/>
    <x v="2"/>
    <x v="13"/>
    <x v="3"/>
  </r>
  <r>
    <s v="INV157"/>
    <x v="155"/>
    <x v="1"/>
    <x v="3"/>
    <x v="19"/>
    <n v="7"/>
    <n v="864"/>
    <n v="6048"/>
    <x v="2"/>
    <x v="13"/>
    <x v="5"/>
  </r>
  <r>
    <s v="INV158"/>
    <x v="156"/>
    <x v="0"/>
    <x v="0"/>
    <x v="0"/>
    <n v="7"/>
    <n v="599"/>
    <n v="4193"/>
    <x v="3"/>
    <x v="9"/>
    <x v="1"/>
  </r>
  <r>
    <s v="INV159"/>
    <x v="157"/>
    <x v="1"/>
    <x v="3"/>
    <x v="6"/>
    <n v="2"/>
    <n v="271"/>
    <n v="542"/>
    <x v="1"/>
    <x v="25"/>
    <x v="2"/>
  </r>
  <r>
    <s v="INV160"/>
    <x v="158"/>
    <x v="0"/>
    <x v="2"/>
    <x v="4"/>
    <n v="4"/>
    <n v="881"/>
    <n v="3524"/>
    <x v="3"/>
    <x v="30"/>
    <x v="1"/>
  </r>
  <r>
    <s v="INV161"/>
    <x v="159"/>
    <x v="1"/>
    <x v="0"/>
    <x v="15"/>
    <n v="6"/>
    <n v="886"/>
    <n v="5316"/>
    <x v="0"/>
    <x v="8"/>
    <x v="5"/>
  </r>
  <r>
    <s v="INV162"/>
    <x v="160"/>
    <x v="1"/>
    <x v="2"/>
    <x v="4"/>
    <n v="8"/>
    <n v="363"/>
    <n v="2904"/>
    <x v="3"/>
    <x v="14"/>
    <x v="1"/>
  </r>
  <r>
    <s v="INV163"/>
    <x v="161"/>
    <x v="0"/>
    <x v="1"/>
    <x v="13"/>
    <n v="7"/>
    <n v="367"/>
    <n v="2569"/>
    <x v="1"/>
    <x v="14"/>
    <x v="3"/>
  </r>
  <r>
    <s v="INV164"/>
    <x v="162"/>
    <x v="1"/>
    <x v="2"/>
    <x v="4"/>
    <n v="10"/>
    <n v="463"/>
    <n v="4630"/>
    <x v="1"/>
    <x v="10"/>
    <x v="3"/>
  </r>
  <r>
    <s v="INV165"/>
    <x v="163"/>
    <x v="0"/>
    <x v="1"/>
    <x v="11"/>
    <n v="6"/>
    <n v="564"/>
    <n v="3744"/>
    <x v="2"/>
    <x v="11"/>
    <x v="4"/>
  </r>
  <r>
    <s v="INV166"/>
    <x v="164"/>
    <x v="1"/>
    <x v="0"/>
    <x v="15"/>
    <n v="1"/>
    <n v="658"/>
    <n v="658"/>
    <x v="2"/>
    <x v="0"/>
    <x v="5"/>
  </r>
  <r>
    <s v="INV167"/>
    <x v="165"/>
    <x v="0"/>
    <x v="0"/>
    <x v="0"/>
    <n v="8"/>
    <n v="861"/>
    <n v="6888"/>
    <x v="0"/>
    <x v="17"/>
    <x v="3"/>
  </r>
  <r>
    <s v="INV168"/>
    <x v="166"/>
    <x v="0"/>
    <x v="0"/>
    <x v="0"/>
    <n v="3"/>
    <n v="376"/>
    <n v="1128"/>
    <x v="0"/>
    <x v="13"/>
    <x v="6"/>
  </r>
  <r>
    <s v="INV169"/>
    <x v="167"/>
    <x v="1"/>
    <x v="0"/>
    <x v="14"/>
    <n v="10"/>
    <n v="440"/>
    <n v="4400"/>
    <x v="1"/>
    <x v="5"/>
    <x v="6"/>
  </r>
  <r>
    <s v="INV170"/>
    <x v="168"/>
    <x v="0"/>
    <x v="2"/>
    <x v="9"/>
    <n v="8"/>
    <n v="260"/>
    <n v="2080"/>
    <x v="3"/>
    <x v="26"/>
    <x v="4"/>
  </r>
  <r>
    <s v="INV171"/>
    <x v="169"/>
    <x v="0"/>
    <x v="1"/>
    <x v="11"/>
    <n v="9"/>
    <n v="220"/>
    <n v="2643"/>
    <x v="0"/>
    <x v="30"/>
    <x v="0"/>
  </r>
  <r>
    <s v="INV172"/>
    <x v="170"/>
    <x v="0"/>
    <x v="2"/>
    <x v="9"/>
    <n v="7"/>
    <n v="994"/>
    <n v="6958"/>
    <x v="2"/>
    <x v="1"/>
    <x v="4"/>
  </r>
  <r>
    <s v="INV173"/>
    <x v="171"/>
    <x v="1"/>
    <x v="2"/>
    <x v="18"/>
    <n v="10"/>
    <n v="583"/>
    <n v="5830"/>
    <x v="2"/>
    <x v="30"/>
    <x v="1"/>
  </r>
  <r>
    <s v="INV174"/>
    <x v="172"/>
    <x v="1"/>
    <x v="1"/>
    <x v="13"/>
    <n v="4"/>
    <n v="195"/>
    <n v="780"/>
    <x v="1"/>
    <x v="14"/>
    <x v="5"/>
  </r>
  <r>
    <s v="INV175"/>
    <x v="173"/>
    <x v="1"/>
    <x v="1"/>
    <x v="1"/>
    <n v="8"/>
    <n v="345"/>
    <n v="2760"/>
    <x v="2"/>
    <x v="25"/>
    <x v="2"/>
  </r>
  <r>
    <s v="INV176"/>
    <x v="174"/>
    <x v="2"/>
    <x v="0"/>
    <x v="0"/>
    <n v="3"/>
    <n v="178"/>
    <n v="534"/>
    <x v="0"/>
    <x v="16"/>
    <x v="1"/>
  </r>
  <r>
    <s v="INV177"/>
    <x v="175"/>
    <x v="1"/>
    <x v="2"/>
    <x v="10"/>
    <n v="8"/>
    <n v="262"/>
    <n v="2096"/>
    <x v="3"/>
    <x v="2"/>
    <x v="1"/>
  </r>
  <r>
    <s v="INV178"/>
    <x v="176"/>
    <x v="0"/>
    <x v="3"/>
    <x v="8"/>
    <n v="4"/>
    <n v="386"/>
    <n v="1544"/>
    <x v="0"/>
    <x v="23"/>
    <x v="0"/>
  </r>
  <r>
    <s v="INV179"/>
    <x v="177"/>
    <x v="0"/>
    <x v="2"/>
    <x v="4"/>
    <n v="5"/>
    <n v="481"/>
    <n v="2405"/>
    <x v="2"/>
    <x v="9"/>
    <x v="4"/>
  </r>
  <r>
    <s v="INV180"/>
    <x v="178"/>
    <x v="1"/>
    <x v="0"/>
    <x v="14"/>
    <n v="4"/>
    <n v="367"/>
    <n v="1468"/>
    <x v="2"/>
    <x v="23"/>
    <x v="5"/>
  </r>
  <r>
    <s v="INV181"/>
    <x v="179"/>
    <x v="0"/>
    <x v="3"/>
    <x v="19"/>
    <n v="7"/>
    <n v="373"/>
    <n v="2611"/>
    <x v="1"/>
    <x v="9"/>
    <x v="1"/>
  </r>
  <r>
    <s v="INV182"/>
    <x v="180"/>
    <x v="0"/>
    <x v="2"/>
    <x v="3"/>
    <n v="5"/>
    <n v="767"/>
    <n v="3835"/>
    <x v="0"/>
    <x v="7"/>
    <x v="4"/>
  </r>
  <r>
    <s v="INV183"/>
    <x v="181"/>
    <x v="1"/>
    <x v="1"/>
    <x v="11"/>
    <n v="1"/>
    <n v="654"/>
    <n v="654"/>
    <x v="0"/>
    <x v="22"/>
    <x v="3"/>
  </r>
  <r>
    <s v="INV184"/>
    <x v="182"/>
    <x v="0"/>
    <x v="1"/>
    <x v="11"/>
    <n v="2"/>
    <n v="161"/>
    <n v="322"/>
    <x v="2"/>
    <x v="5"/>
    <x v="3"/>
  </r>
  <r>
    <s v="INV185"/>
    <x v="183"/>
    <x v="1"/>
    <x v="0"/>
    <x v="12"/>
    <n v="6"/>
    <n v="399"/>
    <n v="2394"/>
    <x v="1"/>
    <x v="10"/>
    <x v="5"/>
  </r>
  <r>
    <s v="INV186"/>
    <x v="184"/>
    <x v="1"/>
    <x v="2"/>
    <x v="2"/>
    <n v="8"/>
    <n v="566"/>
    <n v="4528"/>
    <x v="2"/>
    <x v="15"/>
    <x v="4"/>
  </r>
  <r>
    <s v="INV187"/>
    <x v="185"/>
    <x v="0"/>
    <x v="2"/>
    <x v="9"/>
    <n v="10"/>
    <n v="694"/>
    <n v="6940"/>
    <x v="3"/>
    <x v="28"/>
    <x v="4"/>
  </r>
  <r>
    <s v="INV188"/>
    <x v="186"/>
    <x v="1"/>
    <x v="0"/>
    <x v="15"/>
    <n v="2"/>
    <n v="803"/>
    <n v="1975"/>
    <x v="3"/>
    <x v="26"/>
    <x v="1"/>
  </r>
  <r>
    <s v="INV189"/>
    <x v="187"/>
    <x v="0"/>
    <x v="1"/>
    <x v="13"/>
    <n v="4"/>
    <n v="959"/>
    <n v="3836"/>
    <x v="3"/>
    <x v="5"/>
    <x v="3"/>
  </r>
  <r>
    <s v="INV190"/>
    <x v="188"/>
    <x v="1"/>
    <x v="2"/>
    <x v="10"/>
    <n v="10"/>
    <n v="467"/>
    <n v="4670"/>
    <x v="1"/>
    <x v="16"/>
    <x v="0"/>
  </r>
  <r>
    <s v="INV191"/>
    <x v="189"/>
    <x v="1"/>
    <x v="1"/>
    <x v="1"/>
    <n v="6"/>
    <n v="661"/>
    <n v="3966"/>
    <x v="2"/>
    <x v="23"/>
    <x v="3"/>
  </r>
  <r>
    <s v="INV192"/>
    <x v="190"/>
    <x v="0"/>
    <x v="0"/>
    <x v="14"/>
    <n v="9"/>
    <n v="58"/>
    <n v="522"/>
    <x v="2"/>
    <x v="18"/>
    <x v="3"/>
  </r>
  <r>
    <s v="INV193"/>
    <x v="191"/>
    <x v="1"/>
    <x v="2"/>
    <x v="18"/>
    <n v="7"/>
    <n v="336"/>
    <n v="2352"/>
    <x v="3"/>
    <x v="26"/>
    <x v="3"/>
  </r>
  <r>
    <s v="INV194"/>
    <x v="192"/>
    <x v="1"/>
    <x v="1"/>
    <x v="5"/>
    <n v="3"/>
    <n v="487"/>
    <n v="1461"/>
    <x v="3"/>
    <x v="0"/>
    <x v="3"/>
  </r>
  <r>
    <s v="INV195"/>
    <x v="193"/>
    <x v="1"/>
    <x v="3"/>
    <x v="17"/>
    <n v="9"/>
    <n v="681"/>
    <n v="6129"/>
    <x v="1"/>
    <x v="18"/>
    <x v="4"/>
  </r>
  <r>
    <s v="INV196"/>
    <x v="194"/>
    <x v="1"/>
    <x v="3"/>
    <x v="6"/>
    <n v="8"/>
    <n v="893"/>
    <n v="7144"/>
    <x v="1"/>
    <x v="23"/>
    <x v="3"/>
  </r>
  <r>
    <s v="INV197"/>
    <x v="195"/>
    <x v="0"/>
    <x v="0"/>
    <x v="14"/>
    <n v="6"/>
    <n v="594"/>
    <n v="4265"/>
    <x v="2"/>
    <x v="7"/>
    <x v="4"/>
  </r>
  <r>
    <s v="INV198"/>
    <x v="196"/>
    <x v="0"/>
    <x v="3"/>
    <x v="19"/>
    <n v="3"/>
    <n v="138"/>
    <n v="414"/>
    <x v="0"/>
    <x v="4"/>
    <x v="1"/>
  </r>
  <r>
    <s v="INV199"/>
    <x v="197"/>
    <x v="1"/>
    <x v="3"/>
    <x v="17"/>
    <n v="9"/>
    <n v="598"/>
    <n v="5382"/>
    <x v="0"/>
    <x v="9"/>
    <x v="6"/>
  </r>
  <r>
    <s v="INV200"/>
    <x v="198"/>
    <x v="1"/>
    <x v="2"/>
    <x v="18"/>
    <n v="3"/>
    <n v="162"/>
    <n v="486"/>
    <x v="2"/>
    <x v="3"/>
    <x v="2"/>
  </r>
  <r>
    <s v="INV201"/>
    <x v="199"/>
    <x v="0"/>
    <x v="1"/>
    <x v="1"/>
    <n v="6"/>
    <n v="818"/>
    <n v="4908"/>
    <x v="2"/>
    <x v="6"/>
    <x v="1"/>
  </r>
  <r>
    <s v="INV202"/>
    <x v="200"/>
    <x v="1"/>
    <x v="2"/>
    <x v="18"/>
    <n v="4"/>
    <n v="273"/>
    <n v="1092"/>
    <x v="2"/>
    <x v="30"/>
    <x v="5"/>
  </r>
  <r>
    <s v="INV203"/>
    <x v="201"/>
    <x v="0"/>
    <x v="3"/>
    <x v="19"/>
    <n v="7"/>
    <n v="168"/>
    <n v="1176"/>
    <x v="3"/>
    <x v="15"/>
    <x v="0"/>
  </r>
  <r>
    <s v="INV204"/>
    <x v="202"/>
    <x v="1"/>
    <x v="1"/>
    <x v="16"/>
    <n v="40"/>
    <n v="405"/>
    <n v="810"/>
    <x v="3"/>
    <x v="9"/>
    <x v="2"/>
  </r>
  <r>
    <s v="INV205"/>
    <x v="203"/>
    <x v="1"/>
    <x v="2"/>
    <x v="4"/>
    <n v="7"/>
    <n v="906"/>
    <n v="6342"/>
    <x v="2"/>
    <x v="9"/>
    <x v="4"/>
  </r>
  <r>
    <s v="INV206"/>
    <x v="204"/>
    <x v="0"/>
    <x v="1"/>
    <x v="16"/>
    <n v="7"/>
    <n v="875"/>
    <n v="6125"/>
    <x v="3"/>
    <x v="12"/>
    <x v="1"/>
  </r>
  <r>
    <s v="INV207"/>
    <x v="205"/>
    <x v="1"/>
    <x v="0"/>
    <x v="14"/>
    <n v="8"/>
    <n v="76"/>
    <n v="608"/>
    <x v="2"/>
    <x v="14"/>
    <x v="2"/>
  </r>
  <r>
    <s v="INV208"/>
    <x v="206"/>
    <x v="1"/>
    <x v="1"/>
    <x v="11"/>
    <n v="3"/>
    <n v="132"/>
    <n v="396"/>
    <x v="0"/>
    <x v="0"/>
    <x v="5"/>
  </r>
  <r>
    <s v="INV209"/>
    <x v="207"/>
    <x v="0"/>
    <x v="3"/>
    <x v="8"/>
    <n v="8"/>
    <n v="539"/>
    <n v="4312"/>
    <x v="3"/>
    <x v="2"/>
    <x v="2"/>
  </r>
  <r>
    <s v="INV210"/>
    <x v="208"/>
    <x v="0"/>
    <x v="1"/>
    <x v="16"/>
    <n v="7"/>
    <n v="327"/>
    <n v="2289"/>
    <x v="0"/>
    <x v="10"/>
    <x v="0"/>
  </r>
  <r>
    <s v="INV211"/>
    <x v="209"/>
    <x v="0"/>
    <x v="0"/>
    <x v="14"/>
    <n v="9"/>
    <n v="222"/>
    <n v="1998"/>
    <x v="3"/>
    <x v="20"/>
    <x v="4"/>
  </r>
  <r>
    <s v="INV212"/>
    <x v="210"/>
    <x v="0"/>
    <x v="2"/>
    <x v="9"/>
    <n v="4"/>
    <n v="289"/>
    <n v="1156"/>
    <x v="2"/>
    <x v="24"/>
    <x v="0"/>
  </r>
  <r>
    <s v="INV213"/>
    <x v="211"/>
    <x v="1"/>
    <x v="0"/>
    <x v="15"/>
    <n v="1"/>
    <n v="624"/>
    <n v="624"/>
    <x v="0"/>
    <x v="4"/>
    <x v="4"/>
  </r>
  <r>
    <s v="INV214"/>
    <x v="212"/>
    <x v="1"/>
    <x v="2"/>
    <x v="10"/>
    <n v="7"/>
    <n v="196"/>
    <n v="1372"/>
    <x v="0"/>
    <x v="30"/>
    <x v="2"/>
  </r>
  <r>
    <s v="INV215"/>
    <x v="213"/>
    <x v="1"/>
    <x v="2"/>
    <x v="9"/>
    <n v="10"/>
    <n v="395"/>
    <n v="3950"/>
    <x v="3"/>
    <x v="15"/>
    <x v="4"/>
  </r>
  <r>
    <s v="INV216"/>
    <x v="214"/>
    <x v="0"/>
    <x v="3"/>
    <x v="6"/>
    <n v="10"/>
    <n v="9500"/>
    <n v="1900"/>
    <x v="0"/>
    <x v="12"/>
    <x v="3"/>
  </r>
  <r>
    <s v="INV217"/>
    <x v="215"/>
    <x v="0"/>
    <x v="2"/>
    <x v="18"/>
    <n v="8"/>
    <n v="319"/>
    <n v="2552"/>
    <x v="3"/>
    <x v="7"/>
    <x v="4"/>
  </r>
  <r>
    <s v="INV218"/>
    <x v="216"/>
    <x v="1"/>
    <x v="3"/>
    <x v="17"/>
    <n v="10"/>
    <n v="298"/>
    <n v="2980"/>
    <x v="0"/>
    <x v="5"/>
    <x v="3"/>
  </r>
  <r>
    <s v="INV219"/>
    <x v="217"/>
    <x v="0"/>
    <x v="2"/>
    <x v="3"/>
    <n v="1"/>
    <n v="896"/>
    <n v="896"/>
    <x v="2"/>
    <x v="25"/>
    <x v="3"/>
  </r>
  <r>
    <s v="INV220"/>
    <x v="218"/>
    <x v="0"/>
    <x v="2"/>
    <x v="9"/>
    <n v="7"/>
    <n v="247"/>
    <n v="1729"/>
    <x v="0"/>
    <x v="14"/>
    <x v="5"/>
  </r>
  <r>
    <s v="INV221"/>
    <x v="219"/>
    <x v="0"/>
    <x v="0"/>
    <x v="14"/>
    <n v="5"/>
    <n v="878"/>
    <n v="4390"/>
    <x v="1"/>
    <x v="35"/>
    <x v="2"/>
  </r>
  <r>
    <s v="INV222"/>
    <x v="220"/>
    <x v="0"/>
    <x v="0"/>
    <x v="12"/>
    <n v="5"/>
    <n v="155"/>
    <n v="775"/>
    <x v="0"/>
    <x v="8"/>
    <x v="4"/>
  </r>
  <r>
    <s v="INV223"/>
    <x v="221"/>
    <x v="0"/>
    <x v="2"/>
    <x v="9"/>
    <n v="7"/>
    <n v="273"/>
    <n v="1911"/>
    <x v="2"/>
    <x v="22"/>
    <x v="0"/>
  </r>
  <r>
    <s v="INV224"/>
    <x v="222"/>
    <x v="0"/>
    <x v="2"/>
    <x v="18"/>
    <n v="4"/>
    <n v="637"/>
    <n v="2548"/>
    <x v="3"/>
    <x v="4"/>
    <x v="3"/>
  </r>
  <r>
    <s v="INV225"/>
    <x v="223"/>
    <x v="0"/>
    <x v="3"/>
    <x v="6"/>
    <n v="5"/>
    <n v="546"/>
    <n v="2730"/>
    <x v="0"/>
    <x v="18"/>
    <x v="2"/>
  </r>
  <r>
    <s v="INV226"/>
    <x v="224"/>
    <x v="0"/>
    <x v="2"/>
    <x v="10"/>
    <n v="120"/>
    <n v="176"/>
    <n v="1056"/>
    <x v="1"/>
    <x v="23"/>
    <x v="2"/>
  </r>
  <r>
    <s v="INV227"/>
    <x v="225"/>
    <x v="0"/>
    <x v="3"/>
    <x v="20"/>
    <n v="10"/>
    <n v="697"/>
    <n v="6970"/>
    <x v="3"/>
    <x v="17"/>
    <x v="2"/>
  </r>
  <r>
    <s v="INV228"/>
    <x v="226"/>
    <x v="0"/>
    <x v="1"/>
    <x v="1"/>
    <n v="8"/>
    <n v="86"/>
    <n v="688"/>
    <x v="1"/>
    <x v="2"/>
    <x v="4"/>
  </r>
  <r>
    <s v="INV229"/>
    <x v="227"/>
    <x v="0"/>
    <x v="2"/>
    <x v="18"/>
    <n v="3"/>
    <n v="917"/>
    <n v="2751"/>
    <x v="3"/>
    <x v="23"/>
    <x v="1"/>
  </r>
  <r>
    <s v="INV230"/>
    <x v="228"/>
    <x v="1"/>
    <x v="3"/>
    <x v="8"/>
    <n v="9"/>
    <n v="715"/>
    <n v="6435"/>
    <x v="3"/>
    <x v="15"/>
    <x v="1"/>
  </r>
  <r>
    <s v="INV231"/>
    <x v="229"/>
    <x v="0"/>
    <x v="1"/>
    <x v="1"/>
    <n v="4"/>
    <n v="192"/>
    <n v="768"/>
    <x v="3"/>
    <x v="27"/>
    <x v="2"/>
  </r>
  <r>
    <s v="INV232"/>
    <x v="230"/>
    <x v="1"/>
    <x v="3"/>
    <x v="8"/>
    <n v="1"/>
    <n v="113"/>
    <n v="113"/>
    <x v="1"/>
    <x v="24"/>
    <x v="4"/>
  </r>
  <r>
    <s v="INV233"/>
    <x v="231"/>
    <x v="0"/>
    <x v="0"/>
    <x v="0"/>
    <n v="5"/>
    <n v="924"/>
    <n v="4620"/>
    <x v="0"/>
    <x v="19"/>
    <x v="2"/>
  </r>
  <r>
    <s v="INV234"/>
    <x v="232"/>
    <x v="0"/>
    <x v="3"/>
    <x v="6"/>
    <n v="1"/>
    <n v="968"/>
    <n v="968"/>
    <x v="1"/>
    <x v="12"/>
    <x v="5"/>
  </r>
  <r>
    <s v="INV235"/>
    <x v="233"/>
    <x v="1"/>
    <x v="0"/>
    <x v="14"/>
    <n v="6"/>
    <n v="681"/>
    <n v="4086"/>
    <x v="3"/>
    <x v="13"/>
    <x v="5"/>
  </r>
  <r>
    <s v="INV236"/>
    <x v="234"/>
    <x v="1"/>
    <x v="0"/>
    <x v="15"/>
    <n v="10"/>
    <n v="460"/>
    <n v="4600"/>
    <x v="0"/>
    <x v="1"/>
    <x v="2"/>
  </r>
  <r>
    <s v="INV237"/>
    <x v="235"/>
    <x v="0"/>
    <x v="0"/>
    <x v="7"/>
    <n v="1"/>
    <n v="644"/>
    <n v="644"/>
    <x v="2"/>
    <x v="15"/>
    <x v="0"/>
  </r>
  <r>
    <s v="INV238"/>
    <x v="236"/>
    <x v="0"/>
    <x v="1"/>
    <x v="13"/>
    <n v="2"/>
    <n v="219"/>
    <n v="438"/>
    <x v="1"/>
    <x v="13"/>
    <x v="2"/>
  </r>
  <r>
    <s v="INV239"/>
    <x v="237"/>
    <x v="1"/>
    <x v="1"/>
    <x v="11"/>
    <n v="6"/>
    <n v="894"/>
    <n v="5364"/>
    <x v="2"/>
    <x v="12"/>
    <x v="0"/>
  </r>
  <r>
    <s v="INV240"/>
    <x v="238"/>
    <x v="1"/>
    <x v="1"/>
    <x v="11"/>
    <n v="7"/>
    <n v="437"/>
    <n v="3059"/>
    <x v="2"/>
    <x v="9"/>
    <x v="2"/>
  </r>
  <r>
    <s v="INV241"/>
    <x v="239"/>
    <x v="1"/>
    <x v="3"/>
    <x v="6"/>
    <n v="7"/>
    <n v="431"/>
    <n v="3017"/>
    <x v="1"/>
    <x v="2"/>
    <x v="4"/>
  </r>
  <r>
    <s v="INV242"/>
    <x v="240"/>
    <x v="1"/>
    <x v="3"/>
    <x v="19"/>
    <n v="6"/>
    <n v="352"/>
    <n v="2112"/>
    <x v="3"/>
    <x v="25"/>
    <x v="5"/>
  </r>
  <r>
    <s v="INV243"/>
    <x v="24"/>
    <x v="1"/>
    <x v="0"/>
    <x v="12"/>
    <n v="1"/>
    <n v="623"/>
    <n v="623"/>
    <x v="3"/>
    <x v="23"/>
    <x v="4"/>
  </r>
  <r>
    <s v="INV244"/>
    <x v="241"/>
    <x v="1"/>
    <x v="2"/>
    <x v="18"/>
    <n v="3"/>
    <n v="695"/>
    <n v="2085"/>
    <x v="3"/>
    <x v="3"/>
    <x v="4"/>
  </r>
  <r>
    <s v="INV245"/>
    <x v="242"/>
    <x v="0"/>
    <x v="0"/>
    <x v="7"/>
    <n v="5"/>
    <n v="917"/>
    <n v="4585"/>
    <x v="0"/>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035B2-808B-4F43-B37D-881673F883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pivotField showAll="0"/>
    <pivotField showAll="0"/>
    <pivotField axis="axisRow" showAll="0">
      <items count="5">
        <item x="1"/>
        <item x="2"/>
        <item x="3"/>
        <item x="0"/>
        <item t="default"/>
      </items>
    </pivotField>
    <pivotField showAll="0"/>
    <pivotField showAll="0"/>
    <pivotField showAll="0"/>
    <pivotField dataField="1" showAll="0"/>
    <pivotField showAll="0"/>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Amount" fld="7" baseField="0" baseItem="0" numFmtId="167"/>
  </dataFields>
  <formats count="6">
    <format dxfId="1227">
      <pivotArea type="all" dataOnly="0" outline="0" fieldPosition="0"/>
    </format>
    <format dxfId="1226">
      <pivotArea outline="0" collapsedLevelsAreSubtotals="1" fieldPosition="0"/>
    </format>
    <format dxfId="1225">
      <pivotArea field="3" type="button" dataOnly="0" labelOnly="1" outline="0" axis="axisRow" fieldPosition="0"/>
    </format>
    <format dxfId="1224">
      <pivotArea dataOnly="0" labelOnly="1" fieldPosition="0">
        <references count="1">
          <reference field="3" count="0"/>
        </references>
      </pivotArea>
    </format>
    <format dxfId="1223">
      <pivotArea dataOnly="0" labelOnly="1" grandRow="1" outline="0" fieldPosition="0"/>
    </format>
    <format dxfId="12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4848C-AD3E-4CF8-8543-3CB469ED12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showAll="0"/>
    <pivotField showAll="0"/>
    <pivotField showAll="0"/>
    <pivotField axis="axisRow" showAll="0">
      <items count="5">
        <item x="1"/>
        <item x="2"/>
        <item x="3"/>
        <item x="0"/>
        <item t="default"/>
      </items>
    </pivotField>
    <pivotField showAll="0"/>
    <pivotField dataField="1" showAll="0"/>
    <pivotField showAll="0"/>
    <pivotField showAll="0"/>
    <pivotField showAll="0"/>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5" baseField="0" baseItem="0" numFmtId="1"/>
  </dataFields>
  <formats count="6">
    <format dxfId="1217">
      <pivotArea type="all" dataOnly="0" outline="0" fieldPosition="0"/>
    </format>
    <format dxfId="1216">
      <pivotArea outline="0" collapsedLevelsAreSubtotals="1" fieldPosition="0"/>
    </format>
    <format dxfId="1215">
      <pivotArea field="3" type="button" dataOnly="0" labelOnly="1" outline="0" axis="axisRow" fieldPosition="0"/>
    </format>
    <format dxfId="1214">
      <pivotArea dataOnly="0" labelOnly="1" fieldPosition="0">
        <references count="1">
          <reference field="3" count="0"/>
        </references>
      </pivotArea>
    </format>
    <format dxfId="1213">
      <pivotArea dataOnly="0" labelOnly="1" grandRow="1" outline="0" fieldPosition="0"/>
    </format>
    <format dxfId="121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C1E2AE-BE27-472F-924B-CF7803BD85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3">
    <pivotField dataField="1" showAll="0"/>
    <pivotField showAll="0"/>
    <pivotField showAll="0"/>
    <pivotField axis="axisRow" showAll="0">
      <items count="5">
        <item x="1"/>
        <item x="2"/>
        <item x="3"/>
        <item x="0"/>
        <item t="default"/>
      </items>
    </pivotField>
    <pivotField showAll="0"/>
    <pivotField showAll="0"/>
    <pivotField showAll="0"/>
    <pivotField dataField="1" showAll="0"/>
    <pivotField showAll="0"/>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Total_Amount" fld="7" baseField="0" baseItem="0"/>
    <dataField name="Count of Invoice_ID" fld="0" subtotal="count" baseField="0" baseItem="0"/>
  </dataFields>
  <formats count="6">
    <format dxfId="1211">
      <pivotArea type="all" dataOnly="0" outline="0" fieldPosition="0"/>
    </format>
    <format dxfId="1210">
      <pivotArea outline="0" collapsedLevelsAreSubtotals="1" fieldPosition="0"/>
    </format>
    <format dxfId="1209">
      <pivotArea field="3" type="button" dataOnly="0" labelOnly="1" outline="0" axis="axisRow" fieldPosition="0"/>
    </format>
    <format dxfId="1208">
      <pivotArea dataOnly="0" labelOnly="1" fieldPosition="0">
        <references count="1">
          <reference field="3" count="0"/>
        </references>
      </pivotArea>
    </format>
    <format dxfId="1207">
      <pivotArea dataOnly="0" labelOnly="1" grandRow="1" outline="0" fieldPosition="0"/>
    </format>
    <format dxfId="120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D37FC4-2674-4567-BC29-B1436BA508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3">
    <pivotField showAll="0"/>
    <pivotField showAll="0"/>
    <pivotField showAll="0"/>
    <pivotField showAll="0">
      <items count="5">
        <item x="1"/>
        <item x="2"/>
        <item x="3"/>
        <item x="0"/>
        <item t="default"/>
      </items>
    </pivotField>
    <pivotField showAll="0"/>
    <pivotField showAll="0"/>
    <pivotField showAll="0"/>
    <pivotField dataField="1" showAll="0"/>
    <pivotField showAll="0"/>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axis="axisRow"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8">
    <i>
      <x/>
    </i>
    <i>
      <x v="1"/>
    </i>
    <i>
      <x v="2"/>
    </i>
    <i>
      <x v="3"/>
    </i>
    <i>
      <x v="4"/>
    </i>
    <i>
      <x v="5"/>
    </i>
    <i>
      <x v="6"/>
    </i>
    <i t="grand">
      <x/>
    </i>
  </rowItems>
  <colItems count="1">
    <i/>
  </colItems>
  <dataFields count="1">
    <dataField name="Sum of Total_Amoun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194771-25F0-4788-891D-59DFD5C656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dataField="1" showAll="0"/>
    <pivotField showAll="0">
      <items count="244">
        <item x="65"/>
        <item x="223"/>
        <item x="123"/>
        <item x="14"/>
        <item x="28"/>
        <item x="232"/>
        <item x="114"/>
        <item x="226"/>
        <item x="9"/>
        <item x="198"/>
        <item x="50"/>
        <item x="227"/>
        <item x="3"/>
        <item x="0"/>
        <item x="235"/>
        <item x="34"/>
        <item x="187"/>
        <item x="155"/>
        <item x="160"/>
        <item x="73"/>
        <item x="64"/>
        <item x="132"/>
        <item x="26"/>
        <item x="192"/>
        <item x="93"/>
        <item x="95"/>
        <item x="152"/>
        <item x="214"/>
        <item x="5"/>
        <item x="241"/>
        <item x="236"/>
        <item x="49"/>
        <item x="100"/>
        <item x="240"/>
        <item x="40"/>
        <item x="18"/>
        <item x="12"/>
        <item x="228"/>
        <item x="76"/>
        <item x="111"/>
        <item x="193"/>
        <item x="151"/>
        <item x="239"/>
        <item x="30"/>
        <item x="174"/>
        <item x="211"/>
        <item x="21"/>
        <item x="38"/>
        <item x="225"/>
        <item x="75"/>
        <item x="190"/>
        <item x="33"/>
        <item x="178"/>
        <item x="133"/>
        <item x="55"/>
        <item x="207"/>
        <item x="219"/>
        <item x="19"/>
        <item x="144"/>
        <item x="182"/>
        <item x="25"/>
        <item x="150"/>
        <item x="6"/>
        <item x="146"/>
        <item x="234"/>
        <item x="186"/>
        <item x="179"/>
        <item x="205"/>
        <item x="170"/>
        <item x="101"/>
        <item x="96"/>
        <item x="213"/>
        <item x="102"/>
        <item x="216"/>
        <item x="158"/>
        <item x="196"/>
        <item x="72"/>
        <item x="2"/>
        <item x="97"/>
        <item x="8"/>
        <item x="167"/>
        <item x="233"/>
        <item x="188"/>
        <item x="130"/>
        <item x="230"/>
        <item x="184"/>
        <item x="181"/>
        <item x="17"/>
        <item x="82"/>
        <item x="137"/>
        <item x="86"/>
        <item x="57"/>
        <item x="103"/>
        <item x="70"/>
        <item x="91"/>
        <item x="81"/>
        <item x="176"/>
        <item x="23"/>
        <item x="42"/>
        <item x="89"/>
        <item x="78"/>
        <item x="220"/>
        <item x="212"/>
        <item x="210"/>
        <item x="168"/>
        <item x="242"/>
        <item x="109"/>
        <item x="206"/>
        <item x="218"/>
        <item x="159"/>
        <item x="32"/>
        <item x="61"/>
        <item x="175"/>
        <item x="197"/>
        <item x="163"/>
        <item x="94"/>
        <item x="67"/>
        <item x="173"/>
        <item x="120"/>
        <item x="129"/>
        <item x="98"/>
        <item x="63"/>
        <item x="45"/>
        <item x="66"/>
        <item x="203"/>
        <item x="92"/>
        <item x="128"/>
        <item x="142"/>
        <item x="87"/>
        <item x="215"/>
        <item x="161"/>
        <item x="80"/>
        <item x="229"/>
        <item x="125"/>
        <item x="135"/>
        <item x="138"/>
        <item x="145"/>
        <item x="171"/>
        <item x="105"/>
        <item x="113"/>
        <item x="110"/>
        <item x="156"/>
        <item x="37"/>
        <item x="56"/>
        <item x="79"/>
        <item x="46"/>
        <item x="118"/>
        <item x="54"/>
        <item x="4"/>
        <item x="15"/>
        <item x="208"/>
        <item x="136"/>
        <item x="29"/>
        <item x="106"/>
        <item x="11"/>
        <item x="1"/>
        <item x="165"/>
        <item x="147"/>
        <item x="52"/>
        <item x="108"/>
        <item x="112"/>
        <item x="99"/>
        <item x="77"/>
        <item x="116"/>
        <item x="194"/>
        <item x="41"/>
        <item x="59"/>
        <item x="107"/>
        <item x="62"/>
        <item x="60"/>
        <item x="222"/>
        <item x="191"/>
        <item x="44"/>
        <item x="166"/>
        <item x="74"/>
        <item x="51"/>
        <item x="195"/>
        <item x="238"/>
        <item x="141"/>
        <item x="180"/>
        <item x="143"/>
        <item x="204"/>
        <item x="172"/>
        <item x="48"/>
        <item x="154"/>
        <item x="16"/>
        <item x="24"/>
        <item x="162"/>
        <item x="221"/>
        <item x="85"/>
        <item x="127"/>
        <item x="71"/>
        <item x="115"/>
        <item x="69"/>
        <item x="134"/>
        <item x="164"/>
        <item x="43"/>
        <item x="217"/>
        <item x="139"/>
        <item x="209"/>
        <item x="104"/>
        <item x="27"/>
        <item x="20"/>
        <item x="36"/>
        <item x="185"/>
        <item x="169"/>
        <item x="90"/>
        <item x="117"/>
        <item x="202"/>
        <item x="13"/>
        <item x="47"/>
        <item x="22"/>
        <item x="189"/>
        <item x="68"/>
        <item x="31"/>
        <item x="231"/>
        <item x="84"/>
        <item x="131"/>
        <item x="177"/>
        <item x="10"/>
        <item x="148"/>
        <item x="122"/>
        <item x="199"/>
        <item x="83"/>
        <item x="157"/>
        <item x="58"/>
        <item x="121"/>
        <item x="53"/>
        <item x="153"/>
        <item x="124"/>
        <item x="201"/>
        <item x="200"/>
        <item x="224"/>
        <item x="237"/>
        <item x="126"/>
        <item x="35"/>
        <item x="140"/>
        <item x="119"/>
        <item x="7"/>
        <item x="88"/>
        <item x="183"/>
        <item x="39"/>
        <item x="149"/>
        <item t="default"/>
      </items>
    </pivotField>
    <pivotField showAll="0"/>
    <pivotField axis="axisRow" showAll="0">
      <items count="5">
        <item x="1"/>
        <item x="2"/>
        <item x="3"/>
        <item x="0"/>
        <item t="default"/>
      </items>
    </pivotField>
    <pivotField showAll="0">
      <items count="22">
        <item x="9"/>
        <item x="0"/>
        <item x="18"/>
        <item x="7"/>
        <item x="15"/>
        <item x="5"/>
        <item x="12"/>
        <item x="19"/>
        <item x="10"/>
        <item x="1"/>
        <item x="14"/>
        <item x="17"/>
        <item x="11"/>
        <item x="8"/>
        <item x="2"/>
        <item x="13"/>
        <item x="6"/>
        <item x="4"/>
        <item x="3"/>
        <item x="20"/>
        <item x="16"/>
        <item t="default"/>
      </items>
    </pivotField>
    <pivotField showAll="0"/>
    <pivotField showAll="0"/>
    <pivotField showAll="0"/>
    <pivotField showAll="0">
      <items count="8">
        <item x="6"/>
        <item x="0"/>
        <item x="5"/>
        <item x="1"/>
        <item x="3"/>
        <item x="2"/>
        <item x="4"/>
        <item t="default"/>
      </items>
    </pivotField>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Invoice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20DEF4-9573-4EBD-B5F9-960A6F488F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showAll="0"/>
    <pivotField axis="axisRow" showAll="0">
      <items count="4">
        <item x="0"/>
        <item x="1"/>
        <item x="2"/>
        <item t="default"/>
      </items>
    </pivotField>
    <pivotField showAll="0">
      <items count="5">
        <item x="1"/>
        <item x="2"/>
        <item x="3"/>
        <item x="0"/>
        <item t="default"/>
      </items>
    </pivotField>
    <pivotField showAll="0"/>
    <pivotField showAll="0"/>
    <pivotField showAll="0"/>
    <pivotField dataField="1" showAll="0"/>
    <pivotField showAll="0">
      <items count="8">
        <item x="6"/>
        <item x="0"/>
        <item x="5"/>
        <item x="1"/>
        <item x="3"/>
        <item x="2"/>
        <item x="4"/>
        <item t="default"/>
      </items>
    </pivotField>
    <pivotField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_Amount"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788D8E-C042-4FBD-8496-DC2E365A9E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0" firstHeaderRow="1" firstDataRow="1" firstDataCol="1"/>
  <pivotFields count="13">
    <pivotField showAll="0"/>
    <pivotField showAll="0"/>
    <pivotField showAll="0">
      <items count="4">
        <item x="0"/>
        <item x="1"/>
        <item x="2"/>
        <item t="default"/>
      </items>
    </pivotField>
    <pivotField showAll="0">
      <items count="5">
        <item x="1"/>
        <item x="2"/>
        <item x="3"/>
        <item x="0"/>
        <item t="default"/>
      </items>
    </pivotField>
    <pivotField showAll="0"/>
    <pivotField showAll="0"/>
    <pivotField showAll="0"/>
    <pivotField dataField="1" showAll="0"/>
    <pivotField showAll="0">
      <items count="8">
        <item x="6"/>
        <item x="0"/>
        <item x="5"/>
        <item x="1"/>
        <item x="3"/>
        <item x="2"/>
        <item x="4"/>
        <item t="default"/>
      </items>
    </pivotField>
    <pivotField axis="axisRow" numFmtId="165" showAll="0">
      <items count="37">
        <item x="30"/>
        <item x="11"/>
        <item x="18"/>
        <item x="20"/>
        <item x="19"/>
        <item x="33"/>
        <item x="14"/>
        <item x="34"/>
        <item x="27"/>
        <item x="31"/>
        <item x="35"/>
        <item x="32"/>
        <item x="1"/>
        <item x="7"/>
        <item x="26"/>
        <item x="28"/>
        <item x="2"/>
        <item x="13"/>
        <item x="16"/>
        <item x="5"/>
        <item x="17"/>
        <item x="9"/>
        <item x="23"/>
        <item x="21"/>
        <item x="25"/>
        <item x="8"/>
        <item x="12"/>
        <item x="3"/>
        <item x="10"/>
        <item x="0"/>
        <item x="15"/>
        <item x="6"/>
        <item x="29"/>
        <item x="22"/>
        <item x="24"/>
        <item x="4"/>
        <item t="default"/>
      </items>
    </pivotField>
    <pivotField showAll="0">
      <items count="8">
        <item x="4"/>
        <item x="1"/>
        <item x="3"/>
        <item x="5"/>
        <item x="2"/>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_Amount" fld="7" baseField="0" baseItem="0"/>
  </dataFields>
  <chartFormats count="2">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05DF58E-102A-42D6-8093-50F7C97DC4BD}" sourceName="Product_Category">
  <pivotTables>
    <pivotTable tabId="12" name="PivotTable1"/>
    <pivotTable tabId="6" name="PivotTable1"/>
    <pivotTable tabId="7" name="PivotTable1"/>
    <pivotTable tabId="8" name="PivotTable1"/>
    <pivotTable tabId="9" name="PivotTable1"/>
    <pivotTable tabId="11" name="PivotTable1"/>
    <pivotTable tabId="14" name="PivotTable1"/>
  </pivotTables>
  <data>
    <tabular pivotCacheId="63370224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D4B496B-A682-4290-AE5D-B446477B6035}" cache="Slicer_Product_Category" caption="Product_Category" columnCount="2" showCaption="0"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F7A4F4-3917-4F49-9816-CDBB3834FE88}" name="Table1" displayName="Table1" ref="A1:K246" totalsRowShown="0" headerRowDxfId="1221" headerRowBorderDxfId="1220" tableBorderDxfId="1219">
  <autoFilter ref="A1:K246" xr:uid="{F0F7A4F4-3917-4F49-9816-CDBB3834FE88}"/>
  <tableColumns count="11">
    <tableColumn id="1" xr3:uid="{0E41F8E6-B44A-4629-9CED-0198EC19D064}" name="Invoice_ID"/>
    <tableColumn id="2" xr3:uid="{8CE829F2-42A8-47F3-B88B-504CF08ECBE7}" name="Customer_Name"/>
    <tableColumn id="3" xr3:uid="{2E040BE4-BEB1-48C0-89E6-83215544DF29}" name="Gender"/>
    <tableColumn id="4" xr3:uid="{42BB3D87-2E16-4B59-9DEA-32B6A3577312}" name="Product_Category"/>
    <tableColumn id="5" xr3:uid="{E63B6054-1CF3-4BCF-B099-28CBF246E74D}" name="Product_Name"/>
    <tableColumn id="6" xr3:uid="{1EEB3733-9225-416E-AA08-D0DD27E5402B}" name="Quantity"/>
    <tableColumn id="7" xr3:uid="{B7D5C992-E369-438A-9800-C9BA216F7AD6}" name="Unit_Price"/>
    <tableColumn id="8" xr3:uid="{E4BA2401-68C1-40B5-A959-C97B796AE7DA}" name="Total_Amount"/>
    <tableColumn id="9" xr3:uid="{A41A5462-4B55-4E44-9C46-9D2D5DBDD1FE}" name="Payment_Method"/>
    <tableColumn id="10" xr3:uid="{F3EC4CE5-3552-4269-98F4-6D0A462BBB26}" name="Date" dataDxfId="1218"/>
    <tableColumn id="11" xr3:uid="{CD0EC30C-9CBA-4B54-A222-3759FD6B0E9A}"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0ED1-8654-48E9-9421-C0FCA2BA8042}">
  <dimension ref="A1:O251"/>
  <sheetViews>
    <sheetView workbookViewId="0"/>
  </sheetViews>
  <sheetFormatPr defaultRowHeight="15" x14ac:dyDescent="0.25"/>
  <cols>
    <col min="1" max="1" width="9.5703125" bestFit="1" customWidth="1"/>
    <col min="2" max="2" width="25.42578125" bestFit="1" customWidth="1"/>
    <col min="3" max="3" width="8.85546875" bestFit="1" customWidth="1"/>
    <col min="4" max="4" width="16" bestFit="1" customWidth="1"/>
    <col min="5" max="5" width="13.42578125" bestFit="1" customWidth="1"/>
    <col min="6" max="6" width="8.140625" bestFit="1" customWidth="1"/>
    <col min="7" max="7" width="9.42578125" bestFit="1" customWidth="1"/>
    <col min="8" max="8" width="13" bestFit="1" customWidth="1"/>
    <col min="9" max="9" width="16.140625" bestFit="1" customWidth="1"/>
  </cols>
  <sheetData>
    <row r="1" spans="1:15" x14ac:dyDescent="0.25">
      <c r="A1" s="1" t="s">
        <v>0</v>
      </c>
      <c r="B1" s="1" t="s">
        <v>1</v>
      </c>
      <c r="C1" s="1" t="s">
        <v>2</v>
      </c>
      <c r="D1" s="1" t="s">
        <v>3</v>
      </c>
      <c r="E1" s="1" t="s">
        <v>4</v>
      </c>
      <c r="F1" s="1" t="s">
        <v>5</v>
      </c>
      <c r="G1" s="1" t="s">
        <v>6</v>
      </c>
      <c r="H1" s="1" t="s">
        <v>7</v>
      </c>
      <c r="I1" s="1" t="s">
        <v>8</v>
      </c>
      <c r="J1" s="1" t="s">
        <v>9</v>
      </c>
      <c r="K1" s="1" t="s">
        <v>10</v>
      </c>
    </row>
    <row r="2" spans="1:15" x14ac:dyDescent="0.25">
      <c r="A2" t="s">
        <v>11</v>
      </c>
      <c r="B2" t="s">
        <v>12</v>
      </c>
      <c r="C2" t="s">
        <v>13</v>
      </c>
      <c r="D2" t="s">
        <v>14</v>
      </c>
      <c r="E2" t="s">
        <v>15</v>
      </c>
      <c r="F2">
        <v>2</v>
      </c>
      <c r="G2">
        <v>893</v>
      </c>
      <c r="H2">
        <v>1786</v>
      </c>
      <c r="I2" t="s">
        <v>16</v>
      </c>
      <c r="J2" s="2">
        <v>45838</v>
      </c>
      <c r="K2" t="s">
        <v>17</v>
      </c>
    </row>
    <row r="3" spans="1:15" x14ac:dyDescent="0.25">
      <c r="A3" t="s">
        <v>18</v>
      </c>
      <c r="B3" t="s">
        <v>19</v>
      </c>
      <c r="C3" t="s">
        <v>13</v>
      </c>
      <c r="D3" t="s">
        <v>20</v>
      </c>
      <c r="E3" t="s">
        <v>21</v>
      </c>
      <c r="F3">
        <v>5</v>
      </c>
      <c r="G3">
        <v>983</v>
      </c>
      <c r="H3">
        <v>4915</v>
      </c>
      <c r="I3" t="s">
        <v>22</v>
      </c>
      <c r="J3" s="2">
        <v>45821</v>
      </c>
      <c r="K3" t="s">
        <v>23</v>
      </c>
    </row>
    <row r="4" spans="1:15" x14ac:dyDescent="0.25">
      <c r="A4" t="s">
        <v>24</v>
      </c>
      <c r="B4" t="s">
        <v>25</v>
      </c>
      <c r="C4" t="s">
        <v>26</v>
      </c>
      <c r="D4" t="s">
        <v>14</v>
      </c>
      <c r="E4" t="s">
        <v>15</v>
      </c>
      <c r="F4">
        <v>10</v>
      </c>
      <c r="H4">
        <v>2900</v>
      </c>
      <c r="I4" t="s">
        <v>27</v>
      </c>
      <c r="J4" s="2">
        <v>45825</v>
      </c>
      <c r="K4" t="s">
        <v>556</v>
      </c>
    </row>
    <row r="5" spans="1:15" x14ac:dyDescent="0.25">
      <c r="A5" t="s">
        <v>28</v>
      </c>
      <c r="B5" t="s">
        <v>29</v>
      </c>
      <c r="C5" t="s">
        <v>13</v>
      </c>
      <c r="D5" t="s">
        <v>30</v>
      </c>
      <c r="F5">
        <v>7</v>
      </c>
      <c r="G5">
        <v>407</v>
      </c>
      <c r="H5">
        <v>2849</v>
      </c>
      <c r="I5" t="s">
        <v>27</v>
      </c>
      <c r="J5" s="2">
        <v>45836</v>
      </c>
      <c r="K5" t="s">
        <v>31</v>
      </c>
    </row>
    <row r="6" spans="1:15" x14ac:dyDescent="0.25">
      <c r="A6" t="s">
        <v>32</v>
      </c>
      <c r="B6" t="s">
        <v>33</v>
      </c>
      <c r="C6" t="s">
        <v>13</v>
      </c>
      <c r="D6" t="s">
        <v>30</v>
      </c>
      <c r="E6" t="s">
        <v>34</v>
      </c>
      <c r="F6">
        <v>6</v>
      </c>
      <c r="G6">
        <v>160</v>
      </c>
      <c r="H6">
        <v>960</v>
      </c>
      <c r="I6" t="s">
        <v>16</v>
      </c>
      <c r="J6" s="2">
        <v>45820</v>
      </c>
      <c r="K6" t="s">
        <v>35</v>
      </c>
    </row>
    <row r="7" spans="1:15" x14ac:dyDescent="0.25">
      <c r="A7" t="s">
        <v>36</v>
      </c>
      <c r="B7" t="s">
        <v>37</v>
      </c>
      <c r="C7" t="s">
        <v>26</v>
      </c>
      <c r="D7" t="s">
        <v>30</v>
      </c>
      <c r="E7" t="s">
        <v>38</v>
      </c>
      <c r="F7">
        <v>1</v>
      </c>
      <c r="G7">
        <v>402</v>
      </c>
      <c r="H7">
        <v>402</v>
      </c>
      <c r="I7" t="s">
        <v>27</v>
      </c>
      <c r="J7" s="2">
        <v>45828</v>
      </c>
      <c r="K7" t="s">
        <v>17</v>
      </c>
    </row>
    <row r="8" spans="1:15" x14ac:dyDescent="0.25">
      <c r="A8" t="s">
        <v>39</v>
      </c>
      <c r="B8" t="s">
        <v>40</v>
      </c>
      <c r="C8" t="s">
        <v>13</v>
      </c>
      <c r="D8" t="s">
        <v>20</v>
      </c>
      <c r="E8" t="s">
        <v>41</v>
      </c>
      <c r="F8">
        <v>10</v>
      </c>
      <c r="G8">
        <v>763</v>
      </c>
      <c r="H8">
        <v>7630</v>
      </c>
      <c r="I8" t="s">
        <v>27</v>
      </c>
      <c r="J8" s="2">
        <v>45816</v>
      </c>
      <c r="K8" t="s">
        <v>31</v>
      </c>
    </row>
    <row r="9" spans="1:15" x14ac:dyDescent="0.25">
      <c r="A9" t="s">
        <v>42</v>
      </c>
      <c r="B9" t="s">
        <v>43</v>
      </c>
      <c r="C9" t="s">
        <v>13</v>
      </c>
      <c r="D9" t="s">
        <v>44</v>
      </c>
      <c r="E9" t="s">
        <v>45</v>
      </c>
      <c r="F9">
        <v>3</v>
      </c>
      <c r="G9">
        <v>392</v>
      </c>
      <c r="H9">
        <v>1176</v>
      </c>
      <c r="I9" t="s">
        <v>22</v>
      </c>
      <c r="J9" s="2">
        <v>45822</v>
      </c>
      <c r="K9" t="s">
        <v>31</v>
      </c>
    </row>
    <row r="10" spans="1:15" x14ac:dyDescent="0.25">
      <c r="A10" t="s">
        <v>46</v>
      </c>
      <c r="B10" t="s">
        <v>47</v>
      </c>
      <c r="C10" t="s">
        <v>13</v>
      </c>
      <c r="D10" t="s">
        <v>14</v>
      </c>
      <c r="E10" t="s">
        <v>48</v>
      </c>
      <c r="F10">
        <v>7</v>
      </c>
      <c r="G10">
        <v>944</v>
      </c>
      <c r="H10">
        <v>6608</v>
      </c>
      <c r="I10" t="s">
        <v>557</v>
      </c>
      <c r="J10" s="2">
        <v>45834</v>
      </c>
      <c r="K10" t="s">
        <v>17</v>
      </c>
    </row>
    <row r="11" spans="1:15" x14ac:dyDescent="0.25">
      <c r="A11" t="s">
        <v>49</v>
      </c>
      <c r="B11" t="s">
        <v>50</v>
      </c>
      <c r="C11" t="s">
        <v>13</v>
      </c>
      <c r="D11" t="s">
        <v>20</v>
      </c>
      <c r="E11" t="s">
        <v>21</v>
      </c>
      <c r="F11">
        <v>5</v>
      </c>
      <c r="G11">
        <v>593</v>
      </c>
      <c r="H11">
        <v>2965</v>
      </c>
      <c r="I11" t="s">
        <v>27</v>
      </c>
      <c r="J11" t="s">
        <v>51</v>
      </c>
      <c r="K11" t="s">
        <v>35</v>
      </c>
    </row>
    <row r="12" spans="1:15" x14ac:dyDescent="0.25">
      <c r="A12" t="s">
        <v>52</v>
      </c>
      <c r="B12" t="s">
        <v>53</v>
      </c>
      <c r="C12" t="s">
        <v>26</v>
      </c>
      <c r="D12" t="s">
        <v>30</v>
      </c>
      <c r="E12" t="s">
        <v>38</v>
      </c>
      <c r="F12">
        <v>5</v>
      </c>
      <c r="G12">
        <v>825</v>
      </c>
      <c r="H12">
        <v>4125</v>
      </c>
      <c r="I12" t="s">
        <v>557</v>
      </c>
      <c r="J12" s="2">
        <v>45838</v>
      </c>
      <c r="K12" t="s">
        <v>23</v>
      </c>
      <c r="O12" s="20"/>
    </row>
    <row r="13" spans="1:15" x14ac:dyDescent="0.25">
      <c r="A13" t="s">
        <v>54</v>
      </c>
      <c r="B13" t="s">
        <v>55</v>
      </c>
      <c r="C13" t="s">
        <v>26</v>
      </c>
      <c r="D13" t="s">
        <v>44</v>
      </c>
      <c r="E13" t="s">
        <v>56</v>
      </c>
      <c r="F13">
        <v>3</v>
      </c>
      <c r="H13">
        <v>366</v>
      </c>
      <c r="I13" t="s">
        <v>22</v>
      </c>
      <c r="J13" s="2">
        <v>45820</v>
      </c>
      <c r="K13" t="s">
        <v>23</v>
      </c>
    </row>
    <row r="14" spans="1:15" x14ac:dyDescent="0.25">
      <c r="A14" t="s">
        <v>57</v>
      </c>
      <c r="B14" t="s">
        <v>58</v>
      </c>
      <c r="C14" t="s">
        <v>26</v>
      </c>
      <c r="D14" t="s">
        <v>20</v>
      </c>
      <c r="E14" t="s">
        <v>41</v>
      </c>
      <c r="F14" t="s">
        <v>558</v>
      </c>
      <c r="G14">
        <v>320</v>
      </c>
      <c r="H14">
        <v>2560</v>
      </c>
      <c r="I14" t="s">
        <v>559</v>
      </c>
      <c r="J14" s="2">
        <v>45837</v>
      </c>
      <c r="K14" t="s">
        <v>17</v>
      </c>
    </row>
    <row r="15" spans="1:15" x14ac:dyDescent="0.25">
      <c r="A15" t="s">
        <v>59</v>
      </c>
      <c r="B15" t="s">
        <v>60</v>
      </c>
      <c r="C15" t="s">
        <v>26</v>
      </c>
      <c r="D15" t="s">
        <v>14</v>
      </c>
      <c r="E15" t="s">
        <v>48</v>
      </c>
      <c r="F15">
        <v>4</v>
      </c>
      <c r="G15">
        <v>949</v>
      </c>
      <c r="H15">
        <v>3796</v>
      </c>
      <c r="I15" t="s">
        <v>22</v>
      </c>
      <c r="J15" s="2">
        <v>45840</v>
      </c>
      <c r="K15" t="s">
        <v>17</v>
      </c>
    </row>
    <row r="16" spans="1:15" x14ac:dyDescent="0.25">
      <c r="A16" t="s">
        <v>61</v>
      </c>
      <c r="B16" t="s">
        <v>560</v>
      </c>
      <c r="C16" t="s">
        <v>26</v>
      </c>
      <c r="D16" t="s">
        <v>30</v>
      </c>
      <c r="E16" t="s">
        <v>62</v>
      </c>
      <c r="F16">
        <v>3</v>
      </c>
      <c r="G16">
        <v>698</v>
      </c>
      <c r="H16">
        <v>2094</v>
      </c>
      <c r="I16" t="s">
        <v>22</v>
      </c>
      <c r="J16" s="2">
        <v>45835</v>
      </c>
      <c r="K16" t="s">
        <v>17</v>
      </c>
    </row>
    <row r="17" spans="1:11" x14ac:dyDescent="0.25">
      <c r="A17" t="s">
        <v>63</v>
      </c>
      <c r="B17" t="s">
        <v>64</v>
      </c>
      <c r="C17" t="s">
        <v>26</v>
      </c>
      <c r="D17" t="s">
        <v>44</v>
      </c>
      <c r="E17" t="s">
        <v>45</v>
      </c>
      <c r="F17">
        <v>10</v>
      </c>
      <c r="G17">
        <v>343</v>
      </c>
      <c r="H17">
        <v>3430</v>
      </c>
      <c r="I17" t="s">
        <v>557</v>
      </c>
      <c r="J17" s="2">
        <v>45836</v>
      </c>
      <c r="K17" t="s">
        <v>65</v>
      </c>
    </row>
    <row r="18" spans="1:11" x14ac:dyDescent="0.25">
      <c r="A18" t="s">
        <v>66</v>
      </c>
      <c r="B18" t="s">
        <v>67</v>
      </c>
      <c r="C18" t="s">
        <v>26</v>
      </c>
      <c r="D18" t="s">
        <v>20</v>
      </c>
      <c r="E18" t="s">
        <v>41</v>
      </c>
      <c r="F18" t="s">
        <v>561</v>
      </c>
      <c r="G18">
        <v>583</v>
      </c>
      <c r="H18">
        <v>2915</v>
      </c>
      <c r="I18" t="s">
        <v>22</v>
      </c>
      <c r="J18" s="2">
        <v>45826</v>
      </c>
      <c r="K18" t="s">
        <v>17</v>
      </c>
    </row>
    <row r="19" spans="1:11" x14ac:dyDescent="0.25">
      <c r="A19" t="s">
        <v>68</v>
      </c>
      <c r="B19" t="s">
        <v>69</v>
      </c>
      <c r="C19" t="s">
        <v>26</v>
      </c>
      <c r="D19" t="s">
        <v>30</v>
      </c>
      <c r="E19" t="s">
        <v>70</v>
      </c>
      <c r="F19">
        <v>2</v>
      </c>
      <c r="G19">
        <v>1000</v>
      </c>
      <c r="H19">
        <v>2000</v>
      </c>
      <c r="I19" t="s">
        <v>557</v>
      </c>
      <c r="J19" s="2">
        <v>45836</v>
      </c>
      <c r="K19" t="s">
        <v>65</v>
      </c>
    </row>
    <row r="20" spans="1:11" x14ac:dyDescent="0.25">
      <c r="A20" t="s">
        <v>71</v>
      </c>
      <c r="B20" t="s">
        <v>72</v>
      </c>
      <c r="C20" t="s">
        <v>26</v>
      </c>
      <c r="D20" t="s">
        <v>20</v>
      </c>
      <c r="E20" t="s">
        <v>21</v>
      </c>
      <c r="F20">
        <v>10</v>
      </c>
      <c r="G20">
        <v>365</v>
      </c>
      <c r="H20">
        <v>3650</v>
      </c>
      <c r="I20" t="s">
        <v>16</v>
      </c>
      <c r="J20" s="2">
        <v>45814</v>
      </c>
      <c r="K20" t="s">
        <v>31</v>
      </c>
    </row>
    <row r="21" spans="1:11" x14ac:dyDescent="0.25">
      <c r="A21" t="s">
        <v>73</v>
      </c>
      <c r="B21" t="s">
        <v>74</v>
      </c>
      <c r="C21" t="s">
        <v>26</v>
      </c>
      <c r="D21" t="s">
        <v>20</v>
      </c>
      <c r="E21" t="s">
        <v>75</v>
      </c>
      <c r="F21">
        <v>10</v>
      </c>
      <c r="G21">
        <v>256</v>
      </c>
      <c r="H21">
        <v>2560</v>
      </c>
      <c r="I21" t="s">
        <v>22</v>
      </c>
      <c r="J21" s="2">
        <v>45834</v>
      </c>
      <c r="K21" t="s">
        <v>31</v>
      </c>
    </row>
    <row r="22" spans="1:11" x14ac:dyDescent="0.25">
      <c r="A22" t="s">
        <v>76</v>
      </c>
      <c r="B22" t="s">
        <v>77</v>
      </c>
      <c r="C22" t="s">
        <v>13</v>
      </c>
      <c r="D22" t="s">
        <v>14</v>
      </c>
      <c r="E22" t="s">
        <v>78</v>
      </c>
      <c r="F22">
        <v>1</v>
      </c>
      <c r="G22">
        <v>479</v>
      </c>
      <c r="H22">
        <v>1221</v>
      </c>
      <c r="I22" t="s">
        <v>27</v>
      </c>
      <c r="J22" s="2">
        <v>45815</v>
      </c>
      <c r="K22" t="s">
        <v>79</v>
      </c>
    </row>
    <row r="23" spans="1:11" x14ac:dyDescent="0.25">
      <c r="A23" t="s">
        <v>80</v>
      </c>
      <c r="B23" t="s">
        <v>81</v>
      </c>
      <c r="C23" t="s">
        <v>13</v>
      </c>
      <c r="D23" t="s">
        <v>44</v>
      </c>
      <c r="E23" t="s">
        <v>45</v>
      </c>
      <c r="F23">
        <v>4</v>
      </c>
      <c r="G23">
        <v>97</v>
      </c>
      <c r="H23">
        <v>388</v>
      </c>
      <c r="I23" t="s">
        <v>22</v>
      </c>
      <c r="J23" s="2">
        <v>45828</v>
      </c>
      <c r="K23" t="s">
        <v>79</v>
      </c>
    </row>
    <row r="24" spans="1:11" x14ac:dyDescent="0.25">
      <c r="A24" t="s">
        <v>82</v>
      </c>
      <c r="B24" t="s">
        <v>83</v>
      </c>
      <c r="C24" t="s">
        <v>26</v>
      </c>
      <c r="D24" t="s">
        <v>44</v>
      </c>
      <c r="E24" t="s">
        <v>45</v>
      </c>
      <c r="F24">
        <v>5</v>
      </c>
      <c r="G24">
        <v>168</v>
      </c>
      <c r="H24">
        <v>840</v>
      </c>
      <c r="I24" t="s">
        <v>557</v>
      </c>
      <c r="J24" s="2">
        <v>45827</v>
      </c>
      <c r="K24" t="s">
        <v>65</v>
      </c>
    </row>
    <row r="25" spans="1:11" x14ac:dyDescent="0.25">
      <c r="A25" t="s">
        <v>84</v>
      </c>
      <c r="B25" t="s">
        <v>85</v>
      </c>
      <c r="C25" t="s">
        <v>13</v>
      </c>
      <c r="D25" t="s">
        <v>20</v>
      </c>
      <c r="E25" t="s">
        <v>21</v>
      </c>
      <c r="F25">
        <v>10</v>
      </c>
      <c r="G25">
        <v>579</v>
      </c>
      <c r="H25">
        <v>5790</v>
      </c>
      <c r="I25" t="s">
        <v>557</v>
      </c>
      <c r="J25" s="2">
        <v>45840</v>
      </c>
      <c r="K25" t="s">
        <v>35</v>
      </c>
    </row>
    <row r="26" spans="1:11" x14ac:dyDescent="0.25">
      <c r="A26" t="s">
        <v>86</v>
      </c>
      <c r="C26" t="s">
        <v>26</v>
      </c>
      <c r="D26" t="s">
        <v>30</v>
      </c>
      <c r="E26" t="s">
        <v>70</v>
      </c>
      <c r="F26">
        <v>3</v>
      </c>
      <c r="G26">
        <v>263</v>
      </c>
      <c r="H26">
        <v>789</v>
      </c>
      <c r="I26" t="s">
        <v>557</v>
      </c>
      <c r="J26" s="2">
        <v>45840</v>
      </c>
      <c r="K26" t="s">
        <v>79</v>
      </c>
    </row>
    <row r="27" spans="1:11" x14ac:dyDescent="0.25">
      <c r="A27" t="s">
        <v>87</v>
      </c>
      <c r="B27" t="s">
        <v>562</v>
      </c>
      <c r="C27" t="s">
        <v>13</v>
      </c>
      <c r="D27" t="s">
        <v>20</v>
      </c>
      <c r="E27" t="s">
        <v>88</v>
      </c>
      <c r="F27">
        <v>1</v>
      </c>
      <c r="G27">
        <v>291</v>
      </c>
      <c r="H27">
        <v>291</v>
      </c>
      <c r="I27" t="s">
        <v>22</v>
      </c>
      <c r="J27" s="2">
        <v>45830</v>
      </c>
      <c r="K27" t="s">
        <v>65</v>
      </c>
    </row>
    <row r="28" spans="1:11" x14ac:dyDescent="0.25">
      <c r="A28" t="s">
        <v>89</v>
      </c>
      <c r="B28" t="s">
        <v>90</v>
      </c>
      <c r="C28" t="s">
        <v>13</v>
      </c>
      <c r="D28" t="s">
        <v>20</v>
      </c>
      <c r="E28" t="s">
        <v>21</v>
      </c>
      <c r="F28">
        <v>9</v>
      </c>
      <c r="G28">
        <v>457</v>
      </c>
      <c r="H28">
        <v>4113</v>
      </c>
      <c r="I28" t="s">
        <v>16</v>
      </c>
      <c r="J28" s="2">
        <v>45837</v>
      </c>
      <c r="K28" t="s">
        <v>23</v>
      </c>
    </row>
    <row r="29" spans="1:11" x14ac:dyDescent="0.25">
      <c r="A29" t="s">
        <v>91</v>
      </c>
      <c r="B29" t="s">
        <v>92</v>
      </c>
      <c r="C29" t="s">
        <v>13</v>
      </c>
      <c r="D29" t="s">
        <v>30</v>
      </c>
      <c r="E29" t="s">
        <v>70</v>
      </c>
      <c r="F29">
        <v>3</v>
      </c>
      <c r="G29">
        <v>772</v>
      </c>
      <c r="H29">
        <v>2316</v>
      </c>
      <c r="I29" t="s">
        <v>16</v>
      </c>
      <c r="J29" s="2">
        <v>45829</v>
      </c>
      <c r="K29" t="s">
        <v>31</v>
      </c>
    </row>
    <row r="30" spans="1:11" x14ac:dyDescent="0.25">
      <c r="A30" t="s">
        <v>93</v>
      </c>
      <c r="B30" t="s">
        <v>94</v>
      </c>
      <c r="C30" t="s">
        <v>26</v>
      </c>
      <c r="D30" t="s">
        <v>14</v>
      </c>
      <c r="E30" t="s">
        <v>15</v>
      </c>
      <c r="F30">
        <v>8</v>
      </c>
      <c r="G30">
        <v>362</v>
      </c>
      <c r="H30">
        <v>2896</v>
      </c>
      <c r="I30" t="s">
        <v>22</v>
      </c>
      <c r="J30" s="2">
        <v>45811</v>
      </c>
      <c r="K30" t="s">
        <v>95</v>
      </c>
    </row>
    <row r="31" spans="1:11" x14ac:dyDescent="0.25">
      <c r="A31" t="s">
        <v>96</v>
      </c>
      <c r="B31" t="s">
        <v>563</v>
      </c>
      <c r="C31" t="s">
        <v>13</v>
      </c>
      <c r="D31" t="s">
        <v>30</v>
      </c>
      <c r="E31" t="s">
        <v>34</v>
      </c>
      <c r="F31">
        <v>1</v>
      </c>
      <c r="G31">
        <v>274</v>
      </c>
      <c r="H31">
        <v>274</v>
      </c>
      <c r="I31" t="s">
        <v>27</v>
      </c>
      <c r="J31" s="2">
        <v>45813</v>
      </c>
      <c r="K31" t="s">
        <v>79</v>
      </c>
    </row>
    <row r="32" spans="1:11" x14ac:dyDescent="0.25">
      <c r="A32" t="s">
        <v>97</v>
      </c>
      <c r="B32" t="s">
        <v>98</v>
      </c>
      <c r="C32" t="s">
        <v>13</v>
      </c>
      <c r="D32" t="s">
        <v>14</v>
      </c>
      <c r="E32" t="s">
        <v>99</v>
      </c>
      <c r="F32">
        <v>10</v>
      </c>
      <c r="G32">
        <v>104</v>
      </c>
      <c r="H32">
        <v>1040</v>
      </c>
      <c r="I32" t="s">
        <v>16</v>
      </c>
      <c r="J32" s="2">
        <v>45812</v>
      </c>
      <c r="K32" t="s">
        <v>23</v>
      </c>
    </row>
    <row r="33" spans="1:11" x14ac:dyDescent="0.25">
      <c r="A33" t="s">
        <v>100</v>
      </c>
      <c r="B33" t="s">
        <v>101</v>
      </c>
      <c r="C33" t="s">
        <v>26</v>
      </c>
      <c r="D33" t="s">
        <v>20</v>
      </c>
      <c r="E33" t="s">
        <v>21</v>
      </c>
      <c r="F33">
        <v>1</v>
      </c>
      <c r="G33">
        <v>764</v>
      </c>
      <c r="H33">
        <v>1359</v>
      </c>
      <c r="I33" t="s">
        <v>557</v>
      </c>
      <c r="J33" s="2">
        <v>45836</v>
      </c>
      <c r="K33" t="s">
        <v>17</v>
      </c>
    </row>
    <row r="34" spans="1:11" x14ac:dyDescent="0.25">
      <c r="A34" t="s">
        <v>102</v>
      </c>
      <c r="B34" t="s">
        <v>103</v>
      </c>
      <c r="C34" t="s">
        <v>13</v>
      </c>
      <c r="D34" t="s">
        <v>30</v>
      </c>
      <c r="E34" t="s">
        <v>70</v>
      </c>
      <c r="F34">
        <v>9</v>
      </c>
      <c r="G34">
        <v>192</v>
      </c>
      <c r="H34">
        <v>1728</v>
      </c>
      <c r="I34" t="s">
        <v>559</v>
      </c>
      <c r="J34" s="2">
        <v>45825</v>
      </c>
      <c r="K34" t="s">
        <v>65</v>
      </c>
    </row>
    <row r="35" spans="1:11" x14ac:dyDescent="0.25">
      <c r="A35" t="s">
        <v>104</v>
      </c>
      <c r="B35" t="s">
        <v>105</v>
      </c>
      <c r="C35" t="s">
        <v>26</v>
      </c>
      <c r="D35" t="s">
        <v>14</v>
      </c>
      <c r="E35" t="s">
        <v>78</v>
      </c>
      <c r="F35">
        <v>5</v>
      </c>
      <c r="G35">
        <v>295</v>
      </c>
      <c r="I35" t="s">
        <v>16</v>
      </c>
      <c r="J35" s="2">
        <v>45837</v>
      </c>
      <c r="K35" t="s">
        <v>65</v>
      </c>
    </row>
    <row r="36" spans="1:11" x14ac:dyDescent="0.25">
      <c r="A36" t="s">
        <v>106</v>
      </c>
      <c r="B36" t="s">
        <v>107</v>
      </c>
      <c r="C36" t="s">
        <v>26</v>
      </c>
      <c r="D36" t="s">
        <v>44</v>
      </c>
      <c r="E36" t="s">
        <v>56</v>
      </c>
      <c r="F36">
        <v>10</v>
      </c>
      <c r="G36">
        <v>536</v>
      </c>
      <c r="H36">
        <v>5360</v>
      </c>
      <c r="I36" t="s">
        <v>557</v>
      </c>
      <c r="J36" s="2">
        <v>45815</v>
      </c>
      <c r="K36" t="s">
        <v>23</v>
      </c>
    </row>
    <row r="37" spans="1:11" x14ac:dyDescent="0.25">
      <c r="A37" t="s">
        <v>108</v>
      </c>
      <c r="B37" t="s">
        <v>564</v>
      </c>
      <c r="C37" t="s">
        <v>13</v>
      </c>
      <c r="D37" t="s">
        <v>14</v>
      </c>
      <c r="E37" t="s">
        <v>109</v>
      </c>
      <c r="F37">
        <v>7</v>
      </c>
      <c r="G37">
        <v>228</v>
      </c>
      <c r="H37">
        <v>1596</v>
      </c>
      <c r="I37" t="s">
        <v>27</v>
      </c>
      <c r="J37" s="2">
        <v>45832</v>
      </c>
      <c r="K37" t="s">
        <v>23</v>
      </c>
    </row>
    <row r="38" spans="1:11" x14ac:dyDescent="0.25">
      <c r="A38" t="s">
        <v>110</v>
      </c>
      <c r="B38" t="s">
        <v>111</v>
      </c>
      <c r="C38" t="s">
        <v>13</v>
      </c>
      <c r="D38" t="s">
        <v>20</v>
      </c>
      <c r="E38" t="s">
        <v>112</v>
      </c>
      <c r="F38">
        <v>10</v>
      </c>
      <c r="G38">
        <v>711</v>
      </c>
      <c r="H38">
        <v>7110</v>
      </c>
      <c r="I38" t="s">
        <v>22</v>
      </c>
      <c r="J38" t="s">
        <v>113</v>
      </c>
      <c r="K38" t="s">
        <v>17</v>
      </c>
    </row>
    <row r="39" spans="1:11" x14ac:dyDescent="0.25">
      <c r="A39" t="s">
        <v>114</v>
      </c>
      <c r="B39" t="s">
        <v>115</v>
      </c>
      <c r="C39" t="s">
        <v>26</v>
      </c>
      <c r="D39" t="s">
        <v>14</v>
      </c>
      <c r="E39" t="s">
        <v>109</v>
      </c>
      <c r="F39">
        <v>9</v>
      </c>
      <c r="G39">
        <v>992</v>
      </c>
      <c r="H39">
        <v>8928</v>
      </c>
      <c r="I39" t="s">
        <v>16</v>
      </c>
      <c r="J39" t="s">
        <v>116</v>
      </c>
      <c r="K39" t="s">
        <v>17</v>
      </c>
    </row>
    <row r="40" spans="1:11" x14ac:dyDescent="0.25">
      <c r="A40" t="s">
        <v>117</v>
      </c>
      <c r="B40" t="s">
        <v>118</v>
      </c>
      <c r="C40" t="s">
        <v>13</v>
      </c>
      <c r="D40" t="s">
        <v>44</v>
      </c>
      <c r="E40" t="s">
        <v>56</v>
      </c>
      <c r="F40">
        <v>2</v>
      </c>
      <c r="G40">
        <v>395</v>
      </c>
      <c r="H40">
        <v>790</v>
      </c>
      <c r="I40" t="s">
        <v>16</v>
      </c>
      <c r="J40" s="2">
        <v>45814</v>
      </c>
      <c r="K40" t="s">
        <v>35</v>
      </c>
    </row>
    <row r="41" spans="1:11" x14ac:dyDescent="0.25">
      <c r="A41" t="s">
        <v>119</v>
      </c>
      <c r="B41" t="s">
        <v>120</v>
      </c>
      <c r="C41" t="s">
        <v>13</v>
      </c>
      <c r="D41" t="s">
        <v>14</v>
      </c>
      <c r="E41" t="s">
        <v>48</v>
      </c>
      <c r="F41">
        <v>10</v>
      </c>
      <c r="G41">
        <v>524</v>
      </c>
      <c r="H41">
        <v>5240</v>
      </c>
      <c r="I41" t="s">
        <v>16</v>
      </c>
      <c r="J41" s="2">
        <v>45828</v>
      </c>
      <c r="K41" t="s">
        <v>79</v>
      </c>
    </row>
    <row r="42" spans="1:11" x14ac:dyDescent="0.25">
      <c r="A42" t="s">
        <v>121</v>
      </c>
      <c r="B42" t="s">
        <v>122</v>
      </c>
      <c r="C42" t="s">
        <v>13</v>
      </c>
      <c r="D42" t="s">
        <v>14</v>
      </c>
      <c r="E42" t="s">
        <v>99</v>
      </c>
      <c r="F42">
        <v>1</v>
      </c>
      <c r="G42">
        <v>729</v>
      </c>
      <c r="H42">
        <v>729</v>
      </c>
      <c r="I42" t="s">
        <v>557</v>
      </c>
      <c r="J42" s="2">
        <v>45818</v>
      </c>
      <c r="K42" t="s">
        <v>65</v>
      </c>
    </row>
    <row r="43" spans="1:11" x14ac:dyDescent="0.25">
      <c r="A43" t="s">
        <v>123</v>
      </c>
      <c r="B43" t="s">
        <v>124</v>
      </c>
      <c r="C43" t="s">
        <v>13</v>
      </c>
      <c r="D43" t="s">
        <v>44</v>
      </c>
      <c r="E43" t="s">
        <v>125</v>
      </c>
      <c r="F43">
        <v>8</v>
      </c>
      <c r="G43">
        <v>794</v>
      </c>
      <c r="H43">
        <v>6352</v>
      </c>
      <c r="I43" t="s">
        <v>22</v>
      </c>
      <c r="J43" s="2">
        <v>45831</v>
      </c>
      <c r="K43" t="s">
        <v>35</v>
      </c>
    </row>
    <row r="44" spans="1:11" x14ac:dyDescent="0.25">
      <c r="A44" t="s">
        <v>126</v>
      </c>
      <c r="B44" t="s">
        <v>127</v>
      </c>
      <c r="C44" t="s">
        <v>26</v>
      </c>
      <c r="D44" t="s">
        <v>30</v>
      </c>
      <c r="E44" t="s">
        <v>62</v>
      </c>
      <c r="F44">
        <v>8</v>
      </c>
      <c r="G44">
        <v>999</v>
      </c>
      <c r="H44">
        <v>7992</v>
      </c>
      <c r="I44" t="s">
        <v>557</v>
      </c>
      <c r="J44" s="2">
        <v>45819</v>
      </c>
      <c r="K44" t="s">
        <v>17</v>
      </c>
    </row>
    <row r="45" spans="1:11" x14ac:dyDescent="0.25">
      <c r="A45" t="s">
        <v>128</v>
      </c>
      <c r="B45" t="s">
        <v>129</v>
      </c>
      <c r="C45" t="s">
        <v>13</v>
      </c>
      <c r="D45" t="s">
        <v>14</v>
      </c>
      <c r="E45" t="s">
        <v>48</v>
      </c>
      <c r="F45">
        <v>1</v>
      </c>
      <c r="G45">
        <v>137</v>
      </c>
      <c r="H45">
        <v>137</v>
      </c>
      <c r="I45" t="s">
        <v>27</v>
      </c>
      <c r="J45" s="2">
        <v>45835</v>
      </c>
      <c r="K45" t="s">
        <v>79</v>
      </c>
    </row>
    <row r="46" spans="1:11" x14ac:dyDescent="0.25">
      <c r="A46" t="s">
        <v>130</v>
      </c>
      <c r="B46" t="s">
        <v>131</v>
      </c>
      <c r="C46" t="s">
        <v>13</v>
      </c>
      <c r="D46" t="s">
        <v>20</v>
      </c>
      <c r="E46" t="s">
        <v>41</v>
      </c>
      <c r="F46">
        <v>3</v>
      </c>
      <c r="G46">
        <v>605</v>
      </c>
      <c r="H46">
        <v>1815</v>
      </c>
      <c r="I46" t="s">
        <v>27</v>
      </c>
      <c r="J46" s="2">
        <v>45822</v>
      </c>
      <c r="K46" t="s">
        <v>79</v>
      </c>
    </row>
    <row r="47" spans="1:11" x14ac:dyDescent="0.25">
      <c r="A47" t="s">
        <v>132</v>
      </c>
      <c r="B47" t="s">
        <v>133</v>
      </c>
      <c r="C47" t="s">
        <v>13</v>
      </c>
      <c r="D47" t="s">
        <v>14</v>
      </c>
      <c r="E47" t="s">
        <v>48</v>
      </c>
      <c r="F47">
        <v>3</v>
      </c>
      <c r="G47">
        <v>828</v>
      </c>
      <c r="H47">
        <v>2484</v>
      </c>
      <c r="I47" t="s">
        <v>16</v>
      </c>
      <c r="J47" s="2">
        <v>45832</v>
      </c>
      <c r="K47" t="s">
        <v>31</v>
      </c>
    </row>
    <row r="48" spans="1:11" x14ac:dyDescent="0.25">
      <c r="A48" t="s">
        <v>134</v>
      </c>
      <c r="B48" t="s">
        <v>135</v>
      </c>
      <c r="C48" t="s">
        <v>26</v>
      </c>
      <c r="D48" t="s">
        <v>44</v>
      </c>
      <c r="E48" t="s">
        <v>125</v>
      </c>
      <c r="F48">
        <v>2</v>
      </c>
      <c r="G48">
        <v>73</v>
      </c>
      <c r="H48">
        <v>146</v>
      </c>
      <c r="I48" t="s">
        <v>16</v>
      </c>
      <c r="J48" s="2">
        <v>45837</v>
      </c>
      <c r="K48" t="s">
        <v>17</v>
      </c>
    </row>
    <row r="49" spans="1:11" x14ac:dyDescent="0.25">
      <c r="A49" t="s">
        <v>136</v>
      </c>
      <c r="B49" t="s">
        <v>137</v>
      </c>
      <c r="C49" t="s">
        <v>13</v>
      </c>
      <c r="D49" t="s">
        <v>44</v>
      </c>
      <c r="E49" t="s">
        <v>45</v>
      </c>
      <c r="F49">
        <v>10</v>
      </c>
      <c r="G49">
        <v>772</v>
      </c>
      <c r="H49">
        <v>7720</v>
      </c>
      <c r="I49" t="s">
        <v>557</v>
      </c>
      <c r="J49" t="s">
        <v>138</v>
      </c>
      <c r="K49" t="s">
        <v>17</v>
      </c>
    </row>
    <row r="50" spans="1:11" x14ac:dyDescent="0.25">
      <c r="A50" t="s">
        <v>139</v>
      </c>
      <c r="B50" t="s">
        <v>140</v>
      </c>
      <c r="C50" t="s">
        <v>26</v>
      </c>
      <c r="D50" t="s">
        <v>20</v>
      </c>
      <c r="E50" t="s">
        <v>88</v>
      </c>
      <c r="F50">
        <v>9</v>
      </c>
      <c r="G50">
        <v>980</v>
      </c>
      <c r="H50">
        <v>8820</v>
      </c>
      <c r="I50" t="s">
        <v>557</v>
      </c>
      <c r="J50" s="2">
        <v>45826</v>
      </c>
      <c r="K50" t="s">
        <v>79</v>
      </c>
    </row>
    <row r="51" spans="1:11" x14ac:dyDescent="0.25">
      <c r="A51" t="s">
        <v>141</v>
      </c>
      <c r="B51" t="s">
        <v>142</v>
      </c>
      <c r="C51" t="s">
        <v>565</v>
      </c>
      <c r="D51" t="s">
        <v>30</v>
      </c>
      <c r="E51" t="s">
        <v>143</v>
      </c>
      <c r="F51">
        <v>5</v>
      </c>
      <c r="G51">
        <v>529</v>
      </c>
      <c r="H51">
        <v>2645</v>
      </c>
      <c r="I51" t="s">
        <v>557</v>
      </c>
      <c r="J51" s="2">
        <v>45837</v>
      </c>
      <c r="K51" t="s">
        <v>35</v>
      </c>
    </row>
    <row r="52" spans="1:11" x14ac:dyDescent="0.25">
      <c r="A52" t="s">
        <v>144</v>
      </c>
      <c r="B52" t="s">
        <v>145</v>
      </c>
      <c r="C52" t="s">
        <v>13</v>
      </c>
      <c r="D52" t="s">
        <v>20</v>
      </c>
      <c r="E52" t="s">
        <v>112</v>
      </c>
      <c r="F52">
        <v>5</v>
      </c>
      <c r="G52">
        <v>746</v>
      </c>
      <c r="H52">
        <v>3730</v>
      </c>
      <c r="I52" t="s">
        <v>22</v>
      </c>
      <c r="J52" s="2">
        <v>45811</v>
      </c>
      <c r="K52" t="s">
        <v>95</v>
      </c>
    </row>
    <row r="53" spans="1:11" x14ac:dyDescent="0.25">
      <c r="A53" t="s">
        <v>146</v>
      </c>
      <c r="B53" t="s">
        <v>147</v>
      </c>
      <c r="C53" t="s">
        <v>26</v>
      </c>
      <c r="D53" t="s">
        <v>30</v>
      </c>
      <c r="E53" t="s">
        <v>34</v>
      </c>
      <c r="F53">
        <v>5</v>
      </c>
      <c r="G53">
        <v>173</v>
      </c>
      <c r="H53">
        <v>865</v>
      </c>
      <c r="I53" t="s">
        <v>16</v>
      </c>
      <c r="J53" s="2">
        <v>45814</v>
      </c>
      <c r="K53" t="s">
        <v>31</v>
      </c>
    </row>
    <row r="54" spans="1:11" x14ac:dyDescent="0.25">
      <c r="A54" t="s">
        <v>148</v>
      </c>
      <c r="B54" t="s">
        <v>149</v>
      </c>
      <c r="C54" t="s">
        <v>13</v>
      </c>
      <c r="D54" t="s">
        <v>30</v>
      </c>
      <c r="E54" t="s">
        <v>38</v>
      </c>
      <c r="F54">
        <v>7</v>
      </c>
      <c r="G54">
        <v>710</v>
      </c>
      <c r="H54">
        <v>4970</v>
      </c>
      <c r="I54" t="s">
        <v>22</v>
      </c>
      <c r="J54" s="2">
        <v>45822</v>
      </c>
      <c r="K54" t="s">
        <v>31</v>
      </c>
    </row>
    <row r="55" spans="1:11" x14ac:dyDescent="0.25">
      <c r="A55" t="s">
        <v>150</v>
      </c>
      <c r="B55" t="s">
        <v>151</v>
      </c>
      <c r="C55" t="s">
        <v>13</v>
      </c>
      <c r="D55" t="s">
        <v>30</v>
      </c>
      <c r="E55" t="s">
        <v>62</v>
      </c>
      <c r="F55">
        <v>5</v>
      </c>
      <c r="G55">
        <v>295</v>
      </c>
      <c r="H55">
        <v>1475</v>
      </c>
      <c r="I55" t="s">
        <v>22</v>
      </c>
      <c r="J55" s="2">
        <v>45814</v>
      </c>
      <c r="K55" t="s">
        <v>17</v>
      </c>
    </row>
    <row r="56" spans="1:11" x14ac:dyDescent="0.25">
      <c r="A56" t="s">
        <v>152</v>
      </c>
      <c r="B56" t="s">
        <v>153</v>
      </c>
      <c r="C56" t="s">
        <v>26</v>
      </c>
      <c r="D56" t="s">
        <v>20</v>
      </c>
      <c r="E56" t="s">
        <v>75</v>
      </c>
      <c r="F56">
        <v>3</v>
      </c>
      <c r="G56">
        <v>227</v>
      </c>
      <c r="H56">
        <v>681</v>
      </c>
      <c r="I56" t="s">
        <v>27</v>
      </c>
      <c r="J56" s="2">
        <v>45818</v>
      </c>
      <c r="K56" t="s">
        <v>31</v>
      </c>
    </row>
    <row r="57" spans="1:11" x14ac:dyDescent="0.25">
      <c r="A57" t="s">
        <v>154</v>
      </c>
      <c r="B57" t="s">
        <v>155</v>
      </c>
      <c r="C57" t="s">
        <v>13</v>
      </c>
      <c r="D57" t="s">
        <v>20</v>
      </c>
      <c r="E57" t="s">
        <v>88</v>
      </c>
      <c r="F57">
        <v>4</v>
      </c>
      <c r="G57">
        <v>777</v>
      </c>
      <c r="H57">
        <v>3108</v>
      </c>
      <c r="I57" t="s">
        <v>557</v>
      </c>
      <c r="J57" t="s">
        <v>156</v>
      </c>
      <c r="K57" t="s">
        <v>65</v>
      </c>
    </row>
    <row r="58" spans="1:11" x14ac:dyDescent="0.25">
      <c r="A58" t="s">
        <v>157</v>
      </c>
      <c r="B58" t="s">
        <v>158</v>
      </c>
      <c r="C58" t="s">
        <v>26</v>
      </c>
      <c r="D58" t="s">
        <v>14</v>
      </c>
      <c r="E58" t="s">
        <v>78</v>
      </c>
      <c r="F58">
        <v>6</v>
      </c>
      <c r="G58">
        <v>400</v>
      </c>
      <c r="H58">
        <v>2400</v>
      </c>
      <c r="I58" t="s">
        <v>27</v>
      </c>
      <c r="J58" s="2">
        <v>45811</v>
      </c>
      <c r="K58" t="s">
        <v>35</v>
      </c>
    </row>
    <row r="59" spans="1:11" x14ac:dyDescent="0.25">
      <c r="A59" t="s">
        <v>159</v>
      </c>
      <c r="B59" t="s">
        <v>160</v>
      </c>
      <c r="C59" t="s">
        <v>26</v>
      </c>
      <c r="D59" t="s">
        <v>14</v>
      </c>
      <c r="E59" t="s">
        <v>48</v>
      </c>
      <c r="F59">
        <v>5</v>
      </c>
      <c r="G59">
        <v>364</v>
      </c>
      <c r="H59">
        <v>1820</v>
      </c>
      <c r="I59" t="s">
        <v>27</v>
      </c>
      <c r="J59" s="2">
        <v>45828</v>
      </c>
      <c r="K59" t="s">
        <v>23</v>
      </c>
    </row>
    <row r="60" spans="1:11" x14ac:dyDescent="0.25">
      <c r="A60" t="s">
        <v>161</v>
      </c>
      <c r="B60" t="s">
        <v>162</v>
      </c>
      <c r="C60" t="s">
        <v>163</v>
      </c>
      <c r="D60" t="s">
        <v>30</v>
      </c>
      <c r="E60" t="s">
        <v>62</v>
      </c>
      <c r="F60">
        <v>3</v>
      </c>
      <c r="G60">
        <v>825</v>
      </c>
      <c r="H60">
        <v>2475</v>
      </c>
      <c r="I60" t="s">
        <v>16</v>
      </c>
      <c r="J60" s="2">
        <v>45836</v>
      </c>
      <c r="K60" t="s">
        <v>35</v>
      </c>
    </row>
    <row r="61" spans="1:11" x14ac:dyDescent="0.25">
      <c r="A61" t="s">
        <v>164</v>
      </c>
      <c r="B61" t="s">
        <v>165</v>
      </c>
      <c r="C61" t="s">
        <v>26</v>
      </c>
      <c r="D61" t="s">
        <v>14</v>
      </c>
      <c r="E61" t="s">
        <v>78</v>
      </c>
      <c r="F61">
        <v>7</v>
      </c>
      <c r="G61">
        <v>841</v>
      </c>
      <c r="H61">
        <v>5887</v>
      </c>
      <c r="I61" t="s">
        <v>557</v>
      </c>
      <c r="J61" s="2">
        <v>45816</v>
      </c>
      <c r="K61" t="s">
        <v>23</v>
      </c>
    </row>
    <row r="62" spans="1:11" x14ac:dyDescent="0.25">
      <c r="A62" t="s">
        <v>166</v>
      </c>
      <c r="B62" t="s">
        <v>167</v>
      </c>
      <c r="C62" t="s">
        <v>13</v>
      </c>
      <c r="D62" t="s">
        <v>20</v>
      </c>
      <c r="E62" t="s">
        <v>75</v>
      </c>
      <c r="F62">
        <v>6</v>
      </c>
      <c r="G62">
        <v>54</v>
      </c>
      <c r="H62">
        <v>324</v>
      </c>
      <c r="I62" t="s">
        <v>27</v>
      </c>
      <c r="J62" s="2">
        <v>45820</v>
      </c>
      <c r="K62" t="s">
        <v>17</v>
      </c>
    </row>
    <row r="63" spans="1:11" x14ac:dyDescent="0.25">
      <c r="A63" t="s">
        <v>168</v>
      </c>
      <c r="B63" t="s">
        <v>169</v>
      </c>
      <c r="C63" t="s">
        <v>26</v>
      </c>
      <c r="D63" t="s">
        <v>44</v>
      </c>
      <c r="E63" t="s">
        <v>170</v>
      </c>
      <c r="F63">
        <v>1</v>
      </c>
      <c r="G63">
        <v>431</v>
      </c>
      <c r="H63">
        <v>431</v>
      </c>
      <c r="I63" t="s">
        <v>22</v>
      </c>
      <c r="J63" s="2">
        <v>45833</v>
      </c>
      <c r="K63" t="s">
        <v>17</v>
      </c>
    </row>
    <row r="64" spans="1:11" x14ac:dyDescent="0.25">
      <c r="A64" t="s">
        <v>171</v>
      </c>
      <c r="B64" t="s">
        <v>172</v>
      </c>
      <c r="C64" t="s">
        <v>13</v>
      </c>
      <c r="D64" t="s">
        <v>14</v>
      </c>
      <c r="E64" t="s">
        <v>78</v>
      </c>
      <c r="F64">
        <v>3</v>
      </c>
      <c r="G64">
        <v>9450</v>
      </c>
      <c r="H64">
        <v>567</v>
      </c>
      <c r="I64" t="s">
        <v>22</v>
      </c>
      <c r="J64" s="2">
        <v>45830</v>
      </c>
      <c r="K64" t="s">
        <v>23</v>
      </c>
    </row>
    <row r="65" spans="1:11" x14ac:dyDescent="0.25">
      <c r="A65" t="s">
        <v>173</v>
      </c>
      <c r="B65" t="s">
        <v>174</v>
      </c>
      <c r="C65" t="s">
        <v>26</v>
      </c>
      <c r="D65" t="s">
        <v>44</v>
      </c>
      <c r="E65" t="s">
        <v>175</v>
      </c>
      <c r="F65">
        <v>5</v>
      </c>
      <c r="G65">
        <v>761</v>
      </c>
      <c r="H65">
        <v>3805</v>
      </c>
      <c r="I65" t="s">
        <v>16</v>
      </c>
      <c r="J65" s="2">
        <v>45823</v>
      </c>
      <c r="K65" t="s">
        <v>79</v>
      </c>
    </row>
    <row r="66" spans="1:11" x14ac:dyDescent="0.25">
      <c r="A66" t="s">
        <v>176</v>
      </c>
      <c r="B66" t="s">
        <v>177</v>
      </c>
      <c r="C66" t="s">
        <v>13</v>
      </c>
      <c r="D66" t="s">
        <v>14</v>
      </c>
      <c r="E66" t="s">
        <v>15</v>
      </c>
      <c r="F66">
        <v>5</v>
      </c>
      <c r="G66">
        <v>280</v>
      </c>
      <c r="H66">
        <v>1400</v>
      </c>
      <c r="I66" t="s">
        <v>27</v>
      </c>
      <c r="J66" s="2">
        <v>45813</v>
      </c>
      <c r="K66" t="s">
        <v>65</v>
      </c>
    </row>
    <row r="67" spans="1:11" x14ac:dyDescent="0.25">
      <c r="A67" t="s">
        <v>178</v>
      </c>
      <c r="B67" t="s">
        <v>179</v>
      </c>
      <c r="C67" t="s">
        <v>13</v>
      </c>
      <c r="D67" t="s">
        <v>30</v>
      </c>
      <c r="E67" t="s">
        <v>62</v>
      </c>
      <c r="F67">
        <v>4</v>
      </c>
      <c r="G67">
        <v>528</v>
      </c>
      <c r="H67">
        <v>2610</v>
      </c>
      <c r="I67" t="s">
        <v>22</v>
      </c>
      <c r="J67" s="2">
        <v>45837</v>
      </c>
      <c r="K67" t="s">
        <v>23</v>
      </c>
    </row>
    <row r="68" spans="1:11" x14ac:dyDescent="0.25">
      <c r="A68" t="s">
        <v>180</v>
      </c>
      <c r="B68" t="s">
        <v>181</v>
      </c>
      <c r="C68" t="s">
        <v>26</v>
      </c>
      <c r="D68" t="s">
        <v>30</v>
      </c>
      <c r="E68" t="s">
        <v>62</v>
      </c>
      <c r="F68">
        <v>4</v>
      </c>
      <c r="G68">
        <v>212</v>
      </c>
      <c r="H68">
        <v>848</v>
      </c>
      <c r="I68" t="s">
        <v>27</v>
      </c>
      <c r="J68" t="s">
        <v>182</v>
      </c>
      <c r="K68" t="s">
        <v>17</v>
      </c>
    </row>
    <row r="69" spans="1:11" x14ac:dyDescent="0.25">
      <c r="A69" t="s">
        <v>183</v>
      </c>
      <c r="B69" t="s">
        <v>184</v>
      </c>
      <c r="C69" t="s">
        <v>13</v>
      </c>
      <c r="D69" t="s">
        <v>20</v>
      </c>
      <c r="E69" t="s">
        <v>88</v>
      </c>
      <c r="F69">
        <v>9</v>
      </c>
      <c r="G69">
        <v>713</v>
      </c>
      <c r="H69">
        <v>6417</v>
      </c>
      <c r="I69" t="s">
        <v>557</v>
      </c>
      <c r="J69" s="2">
        <v>45823</v>
      </c>
      <c r="K69" t="s">
        <v>23</v>
      </c>
    </row>
    <row r="70" spans="1:11" x14ac:dyDescent="0.25">
      <c r="A70" t="s">
        <v>185</v>
      </c>
      <c r="B70" t="s">
        <v>186</v>
      </c>
      <c r="C70" t="s">
        <v>26</v>
      </c>
      <c r="D70" t="s">
        <v>30</v>
      </c>
      <c r="E70" t="s">
        <v>34</v>
      </c>
      <c r="F70">
        <v>10</v>
      </c>
      <c r="G70">
        <v>461</v>
      </c>
      <c r="H70">
        <v>4610</v>
      </c>
      <c r="I70" t="s">
        <v>557</v>
      </c>
      <c r="J70" s="2">
        <v>45812</v>
      </c>
      <c r="K70" t="s">
        <v>65</v>
      </c>
    </row>
    <row r="71" spans="1:11" x14ac:dyDescent="0.25">
      <c r="A71" t="s">
        <v>187</v>
      </c>
      <c r="B71" t="s">
        <v>188</v>
      </c>
      <c r="C71" t="s">
        <v>13</v>
      </c>
      <c r="D71" t="s">
        <v>14</v>
      </c>
      <c r="E71" t="s">
        <v>109</v>
      </c>
      <c r="F71">
        <v>8</v>
      </c>
      <c r="G71">
        <v>472</v>
      </c>
      <c r="H71">
        <v>3776</v>
      </c>
      <c r="I71" t="s">
        <v>557</v>
      </c>
      <c r="J71" s="2">
        <v>45823</v>
      </c>
      <c r="K71" t="s">
        <v>23</v>
      </c>
    </row>
    <row r="72" spans="1:11" x14ac:dyDescent="0.25">
      <c r="A72" t="s">
        <v>189</v>
      </c>
      <c r="B72" t="s">
        <v>190</v>
      </c>
      <c r="C72" t="s">
        <v>13</v>
      </c>
      <c r="D72" t="s">
        <v>30</v>
      </c>
      <c r="E72" t="s">
        <v>34</v>
      </c>
      <c r="F72">
        <v>6</v>
      </c>
      <c r="G72">
        <v>599</v>
      </c>
      <c r="H72">
        <v>3594</v>
      </c>
      <c r="J72" s="2">
        <v>45831</v>
      </c>
      <c r="K72" t="s">
        <v>65</v>
      </c>
    </row>
    <row r="73" spans="1:11" x14ac:dyDescent="0.25">
      <c r="A73" t="s">
        <v>191</v>
      </c>
      <c r="B73" t="s">
        <v>192</v>
      </c>
      <c r="C73" t="s">
        <v>26</v>
      </c>
      <c r="D73" t="s">
        <v>14</v>
      </c>
      <c r="E73" t="s">
        <v>99</v>
      </c>
      <c r="F73">
        <v>9</v>
      </c>
      <c r="G73">
        <v>927</v>
      </c>
      <c r="H73">
        <v>8343</v>
      </c>
      <c r="I73" t="s">
        <v>557</v>
      </c>
      <c r="J73" s="2">
        <v>45812</v>
      </c>
      <c r="K73" t="s">
        <v>65</v>
      </c>
    </row>
    <row r="74" spans="1:11" x14ac:dyDescent="0.25">
      <c r="A74" t="s">
        <v>193</v>
      </c>
      <c r="B74" t="s">
        <v>194</v>
      </c>
      <c r="C74" t="s">
        <v>13</v>
      </c>
      <c r="D74" t="s">
        <v>30</v>
      </c>
      <c r="E74" t="s">
        <v>34</v>
      </c>
      <c r="F74">
        <v>6</v>
      </c>
      <c r="G74">
        <v>717</v>
      </c>
      <c r="H74">
        <v>4302</v>
      </c>
      <c r="I74" t="s">
        <v>557</v>
      </c>
      <c r="J74" s="2">
        <v>45824</v>
      </c>
      <c r="K74" t="s">
        <v>35</v>
      </c>
    </row>
    <row r="75" spans="1:11" x14ac:dyDescent="0.25">
      <c r="A75" t="s">
        <v>195</v>
      </c>
      <c r="B75" t="s">
        <v>196</v>
      </c>
      <c r="C75" t="s">
        <v>26</v>
      </c>
      <c r="D75" t="s">
        <v>30</v>
      </c>
      <c r="E75" t="s">
        <v>70</v>
      </c>
      <c r="F75">
        <v>1</v>
      </c>
      <c r="G75">
        <v>106</v>
      </c>
      <c r="H75">
        <v>106</v>
      </c>
      <c r="J75" s="2">
        <v>45817</v>
      </c>
      <c r="K75" t="s">
        <v>23</v>
      </c>
    </row>
    <row r="76" spans="1:11" x14ac:dyDescent="0.25">
      <c r="A76" t="s">
        <v>197</v>
      </c>
      <c r="B76" t="s">
        <v>198</v>
      </c>
      <c r="C76" t="s">
        <v>13</v>
      </c>
      <c r="D76" t="s">
        <v>44</v>
      </c>
      <c r="E76" t="s">
        <v>45</v>
      </c>
      <c r="F76">
        <v>2</v>
      </c>
      <c r="G76">
        <v>252</v>
      </c>
      <c r="H76">
        <v>504</v>
      </c>
      <c r="I76" t="s">
        <v>16</v>
      </c>
      <c r="J76" s="2">
        <v>45828</v>
      </c>
      <c r="K76" t="s">
        <v>65</v>
      </c>
    </row>
    <row r="77" spans="1:11" x14ac:dyDescent="0.25">
      <c r="A77" t="s">
        <v>199</v>
      </c>
      <c r="B77" t="s">
        <v>200</v>
      </c>
      <c r="C77" t="s">
        <v>13</v>
      </c>
      <c r="D77" t="s">
        <v>20</v>
      </c>
      <c r="E77" t="s">
        <v>88</v>
      </c>
      <c r="F77">
        <v>2</v>
      </c>
      <c r="G77">
        <v>735</v>
      </c>
      <c r="H77">
        <v>1470</v>
      </c>
      <c r="I77" t="s">
        <v>557</v>
      </c>
      <c r="J77" s="2">
        <v>45839</v>
      </c>
      <c r="K77" t="s">
        <v>79</v>
      </c>
    </row>
    <row r="78" spans="1:11" x14ac:dyDescent="0.25">
      <c r="A78" t="s">
        <v>201</v>
      </c>
      <c r="B78" t="s">
        <v>202</v>
      </c>
      <c r="C78" t="s">
        <v>13</v>
      </c>
      <c r="D78" t="s">
        <v>14</v>
      </c>
      <c r="E78" t="s">
        <v>99</v>
      </c>
      <c r="F78">
        <v>3</v>
      </c>
      <c r="G78">
        <v>829</v>
      </c>
      <c r="H78">
        <v>2487</v>
      </c>
      <c r="I78" t="s">
        <v>22</v>
      </c>
      <c r="J78" s="2">
        <v>45823</v>
      </c>
      <c r="K78" t="s">
        <v>79</v>
      </c>
    </row>
    <row r="79" spans="1:11" x14ac:dyDescent="0.25">
      <c r="A79" t="s">
        <v>203</v>
      </c>
      <c r="B79" t="s">
        <v>566</v>
      </c>
      <c r="C79" t="s">
        <v>26</v>
      </c>
      <c r="D79" t="s">
        <v>44</v>
      </c>
      <c r="E79" t="s">
        <v>56</v>
      </c>
      <c r="F79">
        <v>1</v>
      </c>
      <c r="G79">
        <v>187</v>
      </c>
      <c r="H79">
        <v>187</v>
      </c>
      <c r="I79" t="s">
        <v>16</v>
      </c>
      <c r="J79" s="2">
        <v>45811</v>
      </c>
      <c r="K79" t="s">
        <v>65</v>
      </c>
    </row>
    <row r="80" spans="1:11" x14ac:dyDescent="0.25">
      <c r="A80" t="s">
        <v>204</v>
      </c>
      <c r="B80" t="s">
        <v>205</v>
      </c>
      <c r="C80" t="s">
        <v>565</v>
      </c>
      <c r="D80" t="s">
        <v>20</v>
      </c>
      <c r="E80" t="s">
        <v>75</v>
      </c>
      <c r="F80">
        <v>1</v>
      </c>
      <c r="G80">
        <v>249</v>
      </c>
      <c r="H80">
        <v>249</v>
      </c>
      <c r="I80" t="s">
        <v>22</v>
      </c>
      <c r="J80" s="2">
        <v>45823</v>
      </c>
      <c r="K80" t="s">
        <v>79</v>
      </c>
    </row>
    <row r="81" spans="1:11" x14ac:dyDescent="0.25">
      <c r="A81" t="s">
        <v>206</v>
      </c>
      <c r="B81" t="s">
        <v>207</v>
      </c>
      <c r="C81" t="s">
        <v>26</v>
      </c>
      <c r="D81" t="s">
        <v>20</v>
      </c>
      <c r="E81" t="s">
        <v>41</v>
      </c>
      <c r="F81">
        <v>8</v>
      </c>
      <c r="G81">
        <v>59</v>
      </c>
      <c r="H81">
        <v>472</v>
      </c>
      <c r="I81" t="s">
        <v>27</v>
      </c>
      <c r="J81" s="2">
        <v>45817</v>
      </c>
      <c r="K81" t="s">
        <v>17</v>
      </c>
    </row>
    <row r="82" spans="1:11" x14ac:dyDescent="0.25">
      <c r="A82" t="s">
        <v>208</v>
      </c>
      <c r="B82" t="s">
        <v>209</v>
      </c>
      <c r="C82" t="s">
        <v>13</v>
      </c>
      <c r="D82" t="s">
        <v>30</v>
      </c>
      <c r="E82" t="s">
        <v>38</v>
      </c>
      <c r="F82">
        <v>6</v>
      </c>
      <c r="G82">
        <v>122</v>
      </c>
      <c r="H82">
        <v>732</v>
      </c>
      <c r="I82" t="s">
        <v>16</v>
      </c>
      <c r="J82" s="2">
        <v>45832</v>
      </c>
      <c r="K82" t="s">
        <v>23</v>
      </c>
    </row>
    <row r="83" spans="1:11" x14ac:dyDescent="0.25">
      <c r="A83" t="s">
        <v>210</v>
      </c>
      <c r="B83" t="s">
        <v>211</v>
      </c>
      <c r="C83" t="s">
        <v>13</v>
      </c>
      <c r="D83" t="s">
        <v>44</v>
      </c>
      <c r="E83" t="s">
        <v>170</v>
      </c>
      <c r="F83">
        <v>9</v>
      </c>
      <c r="G83">
        <v>679</v>
      </c>
      <c r="H83">
        <v>6111</v>
      </c>
      <c r="I83" t="s">
        <v>567</v>
      </c>
      <c r="J83" s="2">
        <v>45829</v>
      </c>
      <c r="K83" t="s">
        <v>79</v>
      </c>
    </row>
    <row r="84" spans="1:11" x14ac:dyDescent="0.25">
      <c r="A84" t="s">
        <v>212</v>
      </c>
      <c r="B84" t="s">
        <v>213</v>
      </c>
      <c r="C84" t="s">
        <v>13</v>
      </c>
      <c r="D84" t="s">
        <v>44</v>
      </c>
      <c r="E84" t="s">
        <v>45</v>
      </c>
      <c r="F84">
        <v>1</v>
      </c>
      <c r="G84">
        <v>253</v>
      </c>
      <c r="H84">
        <v>253</v>
      </c>
      <c r="I84" t="s">
        <v>16</v>
      </c>
      <c r="J84" s="2">
        <v>45823</v>
      </c>
      <c r="K84" t="s">
        <v>35</v>
      </c>
    </row>
    <row r="85" spans="1:11" x14ac:dyDescent="0.25">
      <c r="A85" t="s">
        <v>214</v>
      </c>
      <c r="B85" t="s">
        <v>215</v>
      </c>
      <c r="C85" t="s">
        <v>26</v>
      </c>
      <c r="D85" t="s">
        <v>30</v>
      </c>
      <c r="E85" t="s">
        <v>62</v>
      </c>
      <c r="F85">
        <v>7</v>
      </c>
      <c r="G85">
        <v>471</v>
      </c>
      <c r="H85">
        <v>3297</v>
      </c>
      <c r="I85" t="s">
        <v>16</v>
      </c>
      <c r="J85" s="2">
        <v>45837</v>
      </c>
      <c r="K85" t="s">
        <v>17</v>
      </c>
    </row>
    <row r="86" spans="1:11" x14ac:dyDescent="0.25">
      <c r="A86" t="s">
        <v>216</v>
      </c>
      <c r="B86" t="s">
        <v>217</v>
      </c>
      <c r="C86" t="s">
        <v>13</v>
      </c>
      <c r="D86" t="s">
        <v>30</v>
      </c>
      <c r="E86" t="s">
        <v>70</v>
      </c>
      <c r="F86">
        <v>5</v>
      </c>
      <c r="G86">
        <v>478</v>
      </c>
      <c r="H86">
        <v>2390</v>
      </c>
      <c r="I86" t="s">
        <v>22</v>
      </c>
      <c r="J86" s="2">
        <v>45840</v>
      </c>
      <c r="K86" t="s">
        <v>17</v>
      </c>
    </row>
    <row r="87" spans="1:11" x14ac:dyDescent="0.25">
      <c r="A87" t="s">
        <v>218</v>
      </c>
      <c r="B87" t="s">
        <v>219</v>
      </c>
      <c r="C87" t="s">
        <v>13</v>
      </c>
      <c r="D87" t="s">
        <v>20</v>
      </c>
      <c r="E87" t="s">
        <v>112</v>
      </c>
      <c r="F87">
        <v>4</v>
      </c>
      <c r="G87">
        <v>516</v>
      </c>
      <c r="H87">
        <v>2064</v>
      </c>
      <c r="I87" t="s">
        <v>16</v>
      </c>
      <c r="J87" s="2">
        <v>45820</v>
      </c>
      <c r="K87" t="s">
        <v>65</v>
      </c>
    </row>
    <row r="88" spans="1:11" x14ac:dyDescent="0.25">
      <c r="A88" t="s">
        <v>220</v>
      </c>
      <c r="B88" t="s">
        <v>221</v>
      </c>
      <c r="C88" t="s">
        <v>26</v>
      </c>
      <c r="D88" t="s">
        <v>20</v>
      </c>
      <c r="E88" t="s">
        <v>88</v>
      </c>
      <c r="F88">
        <v>1</v>
      </c>
      <c r="G88">
        <v>174</v>
      </c>
      <c r="H88">
        <v>174</v>
      </c>
      <c r="I88" t="s">
        <v>568</v>
      </c>
      <c r="J88" s="2">
        <v>45824</v>
      </c>
      <c r="K88" t="s">
        <v>23</v>
      </c>
    </row>
    <row r="89" spans="1:11" x14ac:dyDescent="0.25">
      <c r="A89" t="s">
        <v>222</v>
      </c>
      <c r="B89" t="s">
        <v>223</v>
      </c>
      <c r="C89" t="s">
        <v>569</v>
      </c>
      <c r="D89" t="s">
        <v>20</v>
      </c>
      <c r="E89" t="s">
        <v>88</v>
      </c>
      <c r="F89">
        <v>7</v>
      </c>
      <c r="G89">
        <v>392</v>
      </c>
      <c r="H89">
        <v>2744</v>
      </c>
      <c r="I89" t="s">
        <v>22</v>
      </c>
      <c r="J89" s="2">
        <v>45811</v>
      </c>
      <c r="K89" t="s">
        <v>31</v>
      </c>
    </row>
    <row r="90" spans="1:11" x14ac:dyDescent="0.25">
      <c r="A90" t="s">
        <v>224</v>
      </c>
      <c r="B90" t="s">
        <v>225</v>
      </c>
      <c r="C90" t="s">
        <v>13</v>
      </c>
      <c r="D90" t="s">
        <v>14</v>
      </c>
      <c r="E90" t="s">
        <v>48</v>
      </c>
      <c r="F90">
        <v>10</v>
      </c>
      <c r="G90">
        <v>423</v>
      </c>
      <c r="H90">
        <v>4230</v>
      </c>
      <c r="I90" t="s">
        <v>27</v>
      </c>
      <c r="J90" s="2">
        <v>45824</v>
      </c>
      <c r="K90" t="s">
        <v>17</v>
      </c>
    </row>
    <row r="91" spans="1:11" x14ac:dyDescent="0.25">
      <c r="A91" t="s">
        <v>226</v>
      </c>
      <c r="B91" t="s">
        <v>570</v>
      </c>
      <c r="C91" t="s">
        <v>13</v>
      </c>
      <c r="D91" t="s">
        <v>30</v>
      </c>
      <c r="E91" t="s">
        <v>70</v>
      </c>
      <c r="F91" t="s">
        <v>571</v>
      </c>
      <c r="G91">
        <v>843</v>
      </c>
      <c r="H91">
        <v>2529</v>
      </c>
      <c r="I91" t="s">
        <v>22</v>
      </c>
      <c r="J91" s="2">
        <v>45826</v>
      </c>
      <c r="K91" t="s">
        <v>23</v>
      </c>
    </row>
    <row r="92" spans="1:11" x14ac:dyDescent="0.25">
      <c r="A92" t="s">
        <v>227</v>
      </c>
      <c r="B92" t="s">
        <v>228</v>
      </c>
      <c r="C92" t="s">
        <v>26</v>
      </c>
      <c r="D92" t="s">
        <v>44</v>
      </c>
      <c r="E92" t="s">
        <v>125</v>
      </c>
      <c r="F92">
        <v>4</v>
      </c>
      <c r="G92">
        <v>433</v>
      </c>
      <c r="H92">
        <v>1732</v>
      </c>
      <c r="I92" t="s">
        <v>568</v>
      </c>
      <c r="J92" s="2">
        <v>45817</v>
      </c>
      <c r="K92" t="s">
        <v>31</v>
      </c>
    </row>
    <row r="93" spans="1:11" x14ac:dyDescent="0.25">
      <c r="A93" t="s">
        <v>229</v>
      </c>
      <c r="B93" t="s">
        <v>230</v>
      </c>
      <c r="C93" t="s">
        <v>26</v>
      </c>
      <c r="D93" t="s">
        <v>30</v>
      </c>
      <c r="E93" t="s">
        <v>143</v>
      </c>
      <c r="F93">
        <v>4</v>
      </c>
      <c r="G93">
        <v>157</v>
      </c>
      <c r="H93">
        <v>628</v>
      </c>
      <c r="I93" t="s">
        <v>27</v>
      </c>
      <c r="J93" t="s">
        <v>231</v>
      </c>
      <c r="K93" t="s">
        <v>65</v>
      </c>
    </row>
    <row r="94" spans="1:11" x14ac:dyDescent="0.25">
      <c r="A94" t="s">
        <v>232</v>
      </c>
      <c r="B94" t="s">
        <v>233</v>
      </c>
      <c r="C94" t="s">
        <v>13</v>
      </c>
      <c r="D94" t="s">
        <v>44</v>
      </c>
      <c r="E94" t="s">
        <v>175</v>
      </c>
      <c r="F94">
        <v>3</v>
      </c>
      <c r="G94">
        <v>910</v>
      </c>
      <c r="H94">
        <v>2730</v>
      </c>
      <c r="I94" t="s">
        <v>557</v>
      </c>
      <c r="J94" s="2">
        <v>45835</v>
      </c>
      <c r="K94" t="s">
        <v>65</v>
      </c>
    </row>
    <row r="95" spans="1:11" x14ac:dyDescent="0.25">
      <c r="A95" t="s">
        <v>234</v>
      </c>
      <c r="B95" t="s">
        <v>235</v>
      </c>
      <c r="C95" t="s">
        <v>26</v>
      </c>
      <c r="D95" t="s">
        <v>44</v>
      </c>
      <c r="E95" t="s">
        <v>56</v>
      </c>
      <c r="F95">
        <v>2</v>
      </c>
      <c r="G95">
        <v>958</v>
      </c>
      <c r="H95">
        <v>1916</v>
      </c>
      <c r="I95" t="s">
        <v>22</v>
      </c>
      <c r="J95" s="2">
        <v>45824</v>
      </c>
      <c r="K95" t="s">
        <v>31</v>
      </c>
    </row>
    <row r="96" spans="1:11" x14ac:dyDescent="0.25">
      <c r="A96" t="s">
        <v>236</v>
      </c>
      <c r="B96" t="s">
        <v>237</v>
      </c>
      <c r="C96" t="s">
        <v>13</v>
      </c>
      <c r="D96" t="s">
        <v>44</v>
      </c>
      <c r="E96" t="s">
        <v>175</v>
      </c>
      <c r="F96">
        <v>10</v>
      </c>
      <c r="G96">
        <v>975</v>
      </c>
      <c r="H96">
        <v>9750</v>
      </c>
      <c r="I96" t="s">
        <v>22</v>
      </c>
      <c r="J96" s="2">
        <v>45836</v>
      </c>
      <c r="K96" t="s">
        <v>17</v>
      </c>
    </row>
    <row r="97" spans="1:11" x14ac:dyDescent="0.25">
      <c r="A97" t="s">
        <v>238</v>
      </c>
      <c r="B97" t="s">
        <v>239</v>
      </c>
      <c r="C97" t="s">
        <v>26</v>
      </c>
      <c r="D97" t="s">
        <v>44</v>
      </c>
      <c r="E97" t="s">
        <v>56</v>
      </c>
      <c r="F97">
        <v>8</v>
      </c>
      <c r="G97">
        <v>988</v>
      </c>
      <c r="H97">
        <v>7904</v>
      </c>
      <c r="I97" t="s">
        <v>27</v>
      </c>
      <c r="J97" s="2">
        <v>45819</v>
      </c>
      <c r="K97" t="s">
        <v>17</v>
      </c>
    </row>
    <row r="98" spans="1:11" x14ac:dyDescent="0.25">
      <c r="A98" t="s">
        <v>240</v>
      </c>
      <c r="B98" t="s">
        <v>241</v>
      </c>
      <c r="C98" t="s">
        <v>242</v>
      </c>
      <c r="D98" t="s">
        <v>20</v>
      </c>
      <c r="E98" t="s">
        <v>21</v>
      </c>
      <c r="F98">
        <v>5</v>
      </c>
      <c r="G98">
        <v>850</v>
      </c>
      <c r="H98">
        <v>4250</v>
      </c>
      <c r="I98" t="s">
        <v>557</v>
      </c>
      <c r="J98" s="2">
        <v>45840</v>
      </c>
      <c r="K98" t="s">
        <v>35</v>
      </c>
    </row>
    <row r="99" spans="1:11" x14ac:dyDescent="0.25">
      <c r="A99" t="s">
        <v>243</v>
      </c>
      <c r="B99" t="s">
        <v>244</v>
      </c>
      <c r="C99" t="s">
        <v>26</v>
      </c>
      <c r="D99" t="s">
        <v>30</v>
      </c>
      <c r="E99" t="s">
        <v>38</v>
      </c>
      <c r="F99">
        <v>6</v>
      </c>
      <c r="G99">
        <v>739</v>
      </c>
      <c r="H99">
        <v>4434</v>
      </c>
      <c r="J99" s="2">
        <v>45811</v>
      </c>
      <c r="K99" t="s">
        <v>35</v>
      </c>
    </row>
    <row r="100" spans="1:11" x14ac:dyDescent="0.25">
      <c r="A100" t="s">
        <v>245</v>
      </c>
      <c r="B100" t="s">
        <v>246</v>
      </c>
      <c r="C100" t="s">
        <v>26</v>
      </c>
      <c r="D100" t="s">
        <v>20</v>
      </c>
      <c r="E100" t="s">
        <v>75</v>
      </c>
      <c r="F100">
        <v>7</v>
      </c>
      <c r="G100">
        <v>241</v>
      </c>
      <c r="H100">
        <v>1687</v>
      </c>
      <c r="I100" t="s">
        <v>16</v>
      </c>
      <c r="J100" s="2">
        <v>45828</v>
      </c>
      <c r="K100" t="s">
        <v>79</v>
      </c>
    </row>
    <row r="101" spans="1:11" x14ac:dyDescent="0.25">
      <c r="A101" t="s">
        <v>247</v>
      </c>
      <c r="B101" t="s">
        <v>248</v>
      </c>
      <c r="C101" t="s">
        <v>13</v>
      </c>
      <c r="D101" t="s">
        <v>20</v>
      </c>
      <c r="E101" t="s">
        <v>75</v>
      </c>
      <c r="F101">
        <v>3</v>
      </c>
      <c r="G101">
        <v>727</v>
      </c>
      <c r="H101">
        <v>2181</v>
      </c>
      <c r="I101" t="s">
        <v>27</v>
      </c>
      <c r="J101" s="2">
        <v>45817</v>
      </c>
      <c r="K101" t="s">
        <v>79</v>
      </c>
    </row>
    <row r="102" spans="1:11" x14ac:dyDescent="0.25">
      <c r="A102" t="s">
        <v>249</v>
      </c>
      <c r="B102" t="s">
        <v>572</v>
      </c>
      <c r="C102" t="s">
        <v>26</v>
      </c>
      <c r="D102" t="s">
        <v>20</v>
      </c>
      <c r="E102" t="s">
        <v>112</v>
      </c>
      <c r="F102">
        <v>9</v>
      </c>
      <c r="G102">
        <v>826</v>
      </c>
      <c r="H102">
        <v>7434</v>
      </c>
      <c r="I102" t="s">
        <v>567</v>
      </c>
      <c r="J102" s="2">
        <v>45830</v>
      </c>
      <c r="K102" t="s">
        <v>35</v>
      </c>
    </row>
    <row r="103" spans="1:11" x14ac:dyDescent="0.25">
      <c r="A103" t="s">
        <v>250</v>
      </c>
      <c r="B103" t="s">
        <v>251</v>
      </c>
      <c r="C103" t="s">
        <v>26</v>
      </c>
      <c r="D103" t="s">
        <v>30</v>
      </c>
      <c r="E103" t="s">
        <v>34</v>
      </c>
      <c r="F103">
        <v>9</v>
      </c>
      <c r="G103">
        <v>53</v>
      </c>
      <c r="H103">
        <v>477</v>
      </c>
      <c r="I103" t="s">
        <v>557</v>
      </c>
      <c r="J103" s="2">
        <v>45840</v>
      </c>
      <c r="K103" t="s">
        <v>23</v>
      </c>
    </row>
    <row r="104" spans="1:11" x14ac:dyDescent="0.25">
      <c r="A104" t="s">
        <v>252</v>
      </c>
      <c r="B104" t="s">
        <v>253</v>
      </c>
      <c r="C104" t="s">
        <v>13</v>
      </c>
      <c r="D104" t="s">
        <v>14</v>
      </c>
      <c r="E104" t="s">
        <v>15</v>
      </c>
      <c r="F104">
        <v>3</v>
      </c>
      <c r="G104">
        <v>272</v>
      </c>
      <c r="H104">
        <v>816</v>
      </c>
      <c r="I104" t="s">
        <v>557</v>
      </c>
      <c r="J104" s="2">
        <v>45811</v>
      </c>
      <c r="K104" t="s">
        <v>17</v>
      </c>
    </row>
    <row r="105" spans="1:11" x14ac:dyDescent="0.25">
      <c r="A105" t="s">
        <v>254</v>
      </c>
      <c r="B105" t="s">
        <v>255</v>
      </c>
      <c r="C105" t="s">
        <v>26</v>
      </c>
      <c r="D105" t="s">
        <v>44</v>
      </c>
      <c r="E105" t="s">
        <v>170</v>
      </c>
      <c r="F105">
        <v>8</v>
      </c>
      <c r="G105">
        <v>814</v>
      </c>
      <c r="H105">
        <v>6512</v>
      </c>
      <c r="I105" t="s">
        <v>27</v>
      </c>
      <c r="J105" t="s">
        <v>256</v>
      </c>
      <c r="K105" t="s">
        <v>23</v>
      </c>
    </row>
    <row r="106" spans="1:11" x14ac:dyDescent="0.25">
      <c r="A106" t="s">
        <v>257</v>
      </c>
      <c r="B106" t="s">
        <v>258</v>
      </c>
      <c r="C106" t="s">
        <v>13</v>
      </c>
      <c r="D106" t="s">
        <v>20</v>
      </c>
      <c r="E106" t="s">
        <v>75</v>
      </c>
      <c r="F106">
        <v>8</v>
      </c>
      <c r="G106" t="s">
        <v>259</v>
      </c>
      <c r="H106">
        <v>6216</v>
      </c>
      <c r="I106" t="s">
        <v>22</v>
      </c>
      <c r="J106" t="s">
        <v>260</v>
      </c>
      <c r="K106" t="s">
        <v>31</v>
      </c>
    </row>
    <row r="107" spans="1:11" x14ac:dyDescent="0.25">
      <c r="A107" t="s">
        <v>261</v>
      </c>
      <c r="B107" t="s">
        <v>262</v>
      </c>
      <c r="C107" t="s">
        <v>26</v>
      </c>
      <c r="D107" t="s">
        <v>20</v>
      </c>
      <c r="E107" t="s">
        <v>21</v>
      </c>
      <c r="F107">
        <v>1</v>
      </c>
      <c r="G107">
        <v>27300</v>
      </c>
      <c r="H107">
        <v>546</v>
      </c>
      <c r="I107" t="s">
        <v>16</v>
      </c>
      <c r="J107" s="2">
        <v>45831</v>
      </c>
      <c r="K107" t="s">
        <v>65</v>
      </c>
    </row>
    <row r="108" spans="1:11" x14ac:dyDescent="0.25">
      <c r="A108" t="s">
        <v>263</v>
      </c>
      <c r="B108" t="s">
        <v>264</v>
      </c>
      <c r="C108" t="s">
        <v>26</v>
      </c>
      <c r="D108" t="s">
        <v>20</v>
      </c>
      <c r="E108" t="s">
        <v>41</v>
      </c>
      <c r="F108">
        <v>2</v>
      </c>
      <c r="G108">
        <v>721</v>
      </c>
      <c r="H108">
        <v>1442</v>
      </c>
      <c r="I108" t="s">
        <v>22</v>
      </c>
      <c r="J108" s="2">
        <v>45813</v>
      </c>
    </row>
    <row r="109" spans="1:11" x14ac:dyDescent="0.25">
      <c r="A109" t="s">
        <v>265</v>
      </c>
      <c r="B109" t="s">
        <v>266</v>
      </c>
      <c r="C109" t="s">
        <v>13</v>
      </c>
      <c r="D109" t="s">
        <v>20</v>
      </c>
      <c r="E109" t="s">
        <v>21</v>
      </c>
      <c r="F109">
        <v>5</v>
      </c>
      <c r="G109">
        <v>812</v>
      </c>
      <c r="H109">
        <v>4060</v>
      </c>
      <c r="I109" t="s">
        <v>27</v>
      </c>
      <c r="J109" s="2">
        <v>45839</v>
      </c>
      <c r="K109" t="s">
        <v>17</v>
      </c>
    </row>
    <row r="110" spans="1:11" x14ac:dyDescent="0.25">
      <c r="A110" t="s">
        <v>267</v>
      </c>
      <c r="B110" t="s">
        <v>268</v>
      </c>
      <c r="C110" t="s">
        <v>26</v>
      </c>
      <c r="D110" t="s">
        <v>30</v>
      </c>
      <c r="E110" t="s">
        <v>34</v>
      </c>
      <c r="F110">
        <v>8</v>
      </c>
      <c r="G110">
        <v>335</v>
      </c>
      <c r="H110">
        <v>2680</v>
      </c>
      <c r="I110" t="s">
        <v>16</v>
      </c>
      <c r="J110" s="2">
        <v>45839</v>
      </c>
      <c r="K110" t="s">
        <v>65</v>
      </c>
    </row>
    <row r="111" spans="1:11" x14ac:dyDescent="0.25">
      <c r="A111" t="s">
        <v>269</v>
      </c>
      <c r="B111" t="s">
        <v>270</v>
      </c>
      <c r="C111" t="s">
        <v>13</v>
      </c>
      <c r="D111" t="s">
        <v>14</v>
      </c>
      <c r="E111" t="s">
        <v>78</v>
      </c>
      <c r="F111">
        <v>7</v>
      </c>
      <c r="G111">
        <v>756</v>
      </c>
      <c r="H111">
        <v>5292</v>
      </c>
      <c r="I111" t="s">
        <v>557</v>
      </c>
      <c r="J111" s="2">
        <v>45827</v>
      </c>
      <c r="K111" t="s">
        <v>79</v>
      </c>
    </row>
    <row r="112" spans="1:11" x14ac:dyDescent="0.25">
      <c r="A112" t="s">
        <v>271</v>
      </c>
      <c r="B112" t="s">
        <v>272</v>
      </c>
      <c r="C112" t="s">
        <v>13</v>
      </c>
      <c r="D112" t="s">
        <v>44</v>
      </c>
      <c r="E112" t="s">
        <v>56</v>
      </c>
      <c r="F112">
        <v>8</v>
      </c>
      <c r="G112">
        <v>693</v>
      </c>
      <c r="H112">
        <v>5544</v>
      </c>
      <c r="I112" t="s">
        <v>557</v>
      </c>
      <c r="J112" s="2">
        <v>45816</v>
      </c>
      <c r="K112" t="s">
        <v>79</v>
      </c>
    </row>
    <row r="113" spans="1:11" x14ac:dyDescent="0.25">
      <c r="A113" t="s">
        <v>273</v>
      </c>
      <c r="B113" t="s">
        <v>274</v>
      </c>
      <c r="C113" t="s">
        <v>26</v>
      </c>
      <c r="D113" t="s">
        <v>20</v>
      </c>
      <c r="E113" t="s">
        <v>88</v>
      </c>
      <c r="F113">
        <v>10</v>
      </c>
      <c r="G113">
        <v>981</v>
      </c>
      <c r="H113">
        <v>9810</v>
      </c>
      <c r="I113" t="s">
        <v>16</v>
      </c>
      <c r="J113" s="2">
        <v>45812</v>
      </c>
      <c r="K113" t="s">
        <v>23</v>
      </c>
    </row>
    <row r="114" spans="1:11" x14ac:dyDescent="0.25">
      <c r="A114" t="s">
        <v>275</v>
      </c>
      <c r="B114" t="s">
        <v>276</v>
      </c>
      <c r="C114" t="s">
        <v>26</v>
      </c>
      <c r="D114" t="s">
        <v>14</v>
      </c>
      <c r="E114" t="s">
        <v>48</v>
      </c>
      <c r="F114">
        <v>140</v>
      </c>
      <c r="G114">
        <v>718</v>
      </c>
      <c r="H114">
        <v>5026</v>
      </c>
      <c r="I114" t="s">
        <v>27</v>
      </c>
      <c r="J114" s="2">
        <v>45811</v>
      </c>
      <c r="K114" t="s">
        <v>65</v>
      </c>
    </row>
    <row r="115" spans="1:11" x14ac:dyDescent="0.25">
      <c r="A115" t="s">
        <v>277</v>
      </c>
      <c r="B115" t="s">
        <v>278</v>
      </c>
      <c r="C115" t="s">
        <v>26</v>
      </c>
      <c r="D115" t="s">
        <v>44</v>
      </c>
      <c r="E115" t="s">
        <v>170</v>
      </c>
      <c r="F115">
        <v>6</v>
      </c>
      <c r="G115">
        <v>946</v>
      </c>
      <c r="H115">
        <v>5676</v>
      </c>
      <c r="I115" t="s">
        <v>16</v>
      </c>
      <c r="J115" s="2">
        <v>45819</v>
      </c>
      <c r="K115" t="s">
        <v>17</v>
      </c>
    </row>
    <row r="116" spans="1:11" x14ac:dyDescent="0.25">
      <c r="A116" t="s">
        <v>279</v>
      </c>
      <c r="B116" t="s">
        <v>280</v>
      </c>
      <c r="C116" t="s">
        <v>242</v>
      </c>
      <c r="D116" t="s">
        <v>44</v>
      </c>
      <c r="E116" t="s">
        <v>170</v>
      </c>
      <c r="F116">
        <v>8</v>
      </c>
      <c r="G116">
        <v>681</v>
      </c>
      <c r="H116">
        <v>5448</v>
      </c>
      <c r="I116" t="s">
        <v>22</v>
      </c>
      <c r="J116" s="2">
        <v>45832</v>
      </c>
      <c r="K116" t="s">
        <v>17</v>
      </c>
    </row>
    <row r="117" spans="1:11" x14ac:dyDescent="0.25">
      <c r="A117" t="s">
        <v>281</v>
      </c>
      <c r="B117" t="s">
        <v>282</v>
      </c>
      <c r="C117" t="s">
        <v>26</v>
      </c>
      <c r="D117" t="s">
        <v>44</v>
      </c>
      <c r="E117" t="s">
        <v>175</v>
      </c>
      <c r="F117">
        <v>5</v>
      </c>
      <c r="G117">
        <v>278</v>
      </c>
      <c r="H117">
        <v>1390</v>
      </c>
      <c r="I117" t="s">
        <v>22</v>
      </c>
      <c r="J117" t="s">
        <v>283</v>
      </c>
      <c r="K117" t="s">
        <v>23</v>
      </c>
    </row>
    <row r="118" spans="1:11" x14ac:dyDescent="0.25">
      <c r="A118" t="s">
        <v>284</v>
      </c>
      <c r="B118" t="s">
        <v>285</v>
      </c>
      <c r="C118" t="s">
        <v>13</v>
      </c>
      <c r="D118" t="s">
        <v>14</v>
      </c>
      <c r="E118" t="s">
        <v>48</v>
      </c>
      <c r="F118">
        <v>4</v>
      </c>
      <c r="G118">
        <v>931</v>
      </c>
      <c r="H118">
        <v>3724</v>
      </c>
      <c r="I118" t="s">
        <v>22</v>
      </c>
      <c r="J118" s="2">
        <v>45814</v>
      </c>
      <c r="K118" t="s">
        <v>23</v>
      </c>
    </row>
    <row r="119" spans="1:11" x14ac:dyDescent="0.25">
      <c r="A119" t="s">
        <v>286</v>
      </c>
      <c r="B119" t="s">
        <v>287</v>
      </c>
      <c r="C119" t="s">
        <v>13</v>
      </c>
      <c r="D119" t="s">
        <v>30</v>
      </c>
      <c r="E119" t="s">
        <v>34</v>
      </c>
      <c r="F119">
        <v>10</v>
      </c>
      <c r="G119">
        <v>957</v>
      </c>
      <c r="H119">
        <v>9570</v>
      </c>
      <c r="I119" t="s">
        <v>27</v>
      </c>
      <c r="J119" s="2">
        <v>45811</v>
      </c>
      <c r="K119" t="s">
        <v>79</v>
      </c>
    </row>
    <row r="120" spans="1:11" x14ac:dyDescent="0.25">
      <c r="A120" t="s">
        <v>288</v>
      </c>
      <c r="B120" t="s">
        <v>289</v>
      </c>
      <c r="C120" t="s">
        <v>26</v>
      </c>
      <c r="D120" t="s">
        <v>30</v>
      </c>
      <c r="E120" t="s">
        <v>38</v>
      </c>
      <c r="F120">
        <v>7</v>
      </c>
      <c r="G120">
        <v>905</v>
      </c>
      <c r="H120">
        <v>6335</v>
      </c>
      <c r="I120" t="s">
        <v>557</v>
      </c>
      <c r="J120" s="2">
        <v>45840</v>
      </c>
      <c r="K120" t="s">
        <v>23</v>
      </c>
    </row>
    <row r="121" spans="1:11" x14ac:dyDescent="0.25">
      <c r="A121" t="s">
        <v>290</v>
      </c>
      <c r="B121" t="s">
        <v>573</v>
      </c>
      <c r="C121" t="s">
        <v>13</v>
      </c>
      <c r="D121" t="s">
        <v>20</v>
      </c>
      <c r="E121" t="s">
        <v>88</v>
      </c>
      <c r="F121">
        <v>1</v>
      </c>
      <c r="G121">
        <v>660</v>
      </c>
      <c r="H121">
        <v>660</v>
      </c>
      <c r="I121" t="s">
        <v>557</v>
      </c>
      <c r="J121" s="2">
        <v>45833</v>
      </c>
      <c r="K121" t="s">
        <v>79</v>
      </c>
    </row>
    <row r="122" spans="1:11" x14ac:dyDescent="0.25">
      <c r="A122" t="s">
        <v>291</v>
      </c>
      <c r="B122" t="s">
        <v>292</v>
      </c>
      <c r="C122" t="s">
        <v>13</v>
      </c>
      <c r="D122" t="s">
        <v>14</v>
      </c>
      <c r="E122" t="s">
        <v>48</v>
      </c>
      <c r="F122">
        <v>4</v>
      </c>
      <c r="G122">
        <v>986</v>
      </c>
      <c r="H122">
        <v>3944</v>
      </c>
      <c r="I122" t="s">
        <v>16</v>
      </c>
      <c r="J122" s="2">
        <v>45826</v>
      </c>
      <c r="K122" t="s">
        <v>293</v>
      </c>
    </row>
    <row r="123" spans="1:11" x14ac:dyDescent="0.25">
      <c r="A123" t="s">
        <v>294</v>
      </c>
      <c r="B123" t="s">
        <v>295</v>
      </c>
      <c r="C123" t="s">
        <v>26</v>
      </c>
      <c r="D123" t="s">
        <v>20</v>
      </c>
      <c r="E123" t="s">
        <v>21</v>
      </c>
      <c r="F123">
        <v>2</v>
      </c>
      <c r="G123">
        <v>435</v>
      </c>
      <c r="H123">
        <v>870</v>
      </c>
      <c r="I123" t="s">
        <v>557</v>
      </c>
      <c r="J123" s="2">
        <v>45812</v>
      </c>
      <c r="K123" t="s">
        <v>31</v>
      </c>
    </row>
    <row r="124" spans="1:11" x14ac:dyDescent="0.25">
      <c r="A124" t="s">
        <v>296</v>
      </c>
      <c r="B124" t="s">
        <v>297</v>
      </c>
      <c r="C124" t="s">
        <v>13</v>
      </c>
      <c r="D124" t="s">
        <v>14</v>
      </c>
      <c r="E124" t="s">
        <v>99</v>
      </c>
      <c r="F124">
        <v>9</v>
      </c>
      <c r="G124">
        <v>252</v>
      </c>
      <c r="H124">
        <v>2268</v>
      </c>
      <c r="I124" t="s">
        <v>16</v>
      </c>
      <c r="J124" s="2">
        <v>45829</v>
      </c>
      <c r="K124" t="s">
        <v>35</v>
      </c>
    </row>
    <row r="125" spans="1:11" x14ac:dyDescent="0.25">
      <c r="A125" t="s">
        <v>298</v>
      </c>
      <c r="B125" t="s">
        <v>299</v>
      </c>
      <c r="C125" t="s">
        <v>26</v>
      </c>
      <c r="D125" t="s">
        <v>14</v>
      </c>
      <c r="E125" t="s">
        <v>109</v>
      </c>
      <c r="F125">
        <v>5</v>
      </c>
      <c r="G125">
        <v>136</v>
      </c>
      <c r="H125">
        <v>680</v>
      </c>
      <c r="I125" t="s">
        <v>22</v>
      </c>
      <c r="J125" s="2">
        <v>45825</v>
      </c>
      <c r="K125" t="s">
        <v>23</v>
      </c>
    </row>
    <row r="126" spans="1:11" x14ac:dyDescent="0.25">
      <c r="A126" t="s">
        <v>300</v>
      </c>
      <c r="B126" t="s">
        <v>301</v>
      </c>
      <c r="C126" t="s">
        <v>26</v>
      </c>
      <c r="D126" t="s">
        <v>44</v>
      </c>
      <c r="E126" t="s">
        <v>175</v>
      </c>
      <c r="F126">
        <v>2</v>
      </c>
      <c r="G126">
        <v>716</v>
      </c>
      <c r="H126">
        <v>1432</v>
      </c>
      <c r="I126" t="s">
        <v>16</v>
      </c>
      <c r="J126" s="2">
        <v>45829</v>
      </c>
      <c r="K126" t="s">
        <v>79</v>
      </c>
    </row>
    <row r="127" spans="1:11" x14ac:dyDescent="0.25">
      <c r="A127" t="s">
        <v>302</v>
      </c>
      <c r="B127" t="s">
        <v>303</v>
      </c>
      <c r="C127" t="s">
        <v>26</v>
      </c>
      <c r="D127" t="s">
        <v>20</v>
      </c>
      <c r="E127" t="s">
        <v>75</v>
      </c>
      <c r="F127">
        <v>7</v>
      </c>
      <c r="G127">
        <v>846</v>
      </c>
      <c r="H127">
        <v>5922</v>
      </c>
      <c r="I127" t="s">
        <v>22</v>
      </c>
      <c r="J127" t="s">
        <v>304</v>
      </c>
      <c r="K127" t="s">
        <v>17</v>
      </c>
    </row>
    <row r="128" spans="1:11" x14ac:dyDescent="0.25">
      <c r="A128" t="s">
        <v>305</v>
      </c>
      <c r="B128" t="s">
        <v>306</v>
      </c>
      <c r="C128" t="s">
        <v>13</v>
      </c>
      <c r="D128" t="s">
        <v>30</v>
      </c>
      <c r="E128" t="s">
        <v>62</v>
      </c>
      <c r="F128">
        <v>7</v>
      </c>
      <c r="G128">
        <v>848</v>
      </c>
      <c r="H128">
        <v>5936</v>
      </c>
      <c r="I128" t="s">
        <v>16</v>
      </c>
      <c r="J128" t="s">
        <v>307</v>
      </c>
      <c r="K128" t="s">
        <v>79</v>
      </c>
    </row>
    <row r="129" spans="1:11" x14ac:dyDescent="0.25">
      <c r="A129" t="s">
        <v>308</v>
      </c>
      <c r="B129" t="s">
        <v>309</v>
      </c>
      <c r="C129" t="s">
        <v>13</v>
      </c>
      <c r="D129" t="s">
        <v>30</v>
      </c>
      <c r="E129" t="s">
        <v>38</v>
      </c>
      <c r="F129">
        <v>9</v>
      </c>
      <c r="G129">
        <v>578</v>
      </c>
      <c r="H129">
        <v>5202</v>
      </c>
      <c r="I129" t="s">
        <v>22</v>
      </c>
      <c r="J129" s="2">
        <v>45828</v>
      </c>
      <c r="K129" t="s">
        <v>65</v>
      </c>
    </row>
    <row r="130" spans="1:11" x14ac:dyDescent="0.25">
      <c r="A130" t="s">
        <v>310</v>
      </c>
      <c r="B130" t="s">
        <v>311</v>
      </c>
      <c r="C130" t="s">
        <v>26</v>
      </c>
      <c r="D130" t="s">
        <v>20</v>
      </c>
      <c r="E130" t="s">
        <v>21</v>
      </c>
      <c r="F130">
        <v>8</v>
      </c>
      <c r="G130">
        <v>657</v>
      </c>
      <c r="H130">
        <v>5256</v>
      </c>
      <c r="I130" t="s">
        <v>22</v>
      </c>
      <c r="J130" s="2">
        <v>45826</v>
      </c>
      <c r="K130" t="s">
        <v>23</v>
      </c>
    </row>
    <row r="131" spans="1:11" x14ac:dyDescent="0.25">
      <c r="A131" t="s">
        <v>312</v>
      </c>
      <c r="B131" t="s">
        <v>313</v>
      </c>
      <c r="C131" t="s">
        <v>13</v>
      </c>
      <c r="D131" t="s">
        <v>14</v>
      </c>
      <c r="E131" t="s">
        <v>99</v>
      </c>
      <c r="F131">
        <v>3</v>
      </c>
      <c r="G131">
        <v>943</v>
      </c>
      <c r="H131">
        <v>2829</v>
      </c>
      <c r="I131" t="s">
        <v>16</v>
      </c>
      <c r="J131" s="2">
        <v>45834</v>
      </c>
      <c r="K131" t="s">
        <v>31</v>
      </c>
    </row>
    <row r="132" spans="1:11" x14ac:dyDescent="0.25">
      <c r="A132" t="s">
        <v>314</v>
      </c>
      <c r="B132" t="s">
        <v>315</v>
      </c>
      <c r="C132" t="s">
        <v>13</v>
      </c>
      <c r="D132" t="s">
        <v>44</v>
      </c>
      <c r="E132" t="s">
        <v>125</v>
      </c>
      <c r="F132">
        <v>2</v>
      </c>
      <c r="G132">
        <v>845</v>
      </c>
      <c r="H132">
        <v>1690</v>
      </c>
      <c r="I132" t="s">
        <v>557</v>
      </c>
      <c r="J132" s="2">
        <v>45823</v>
      </c>
      <c r="K132" t="s">
        <v>79</v>
      </c>
    </row>
    <row r="133" spans="1:11" x14ac:dyDescent="0.25">
      <c r="A133" t="s">
        <v>316</v>
      </c>
      <c r="B133" t="s">
        <v>317</v>
      </c>
      <c r="C133" t="s">
        <v>13</v>
      </c>
      <c r="D133" t="s">
        <v>30</v>
      </c>
      <c r="E133" t="s">
        <v>34</v>
      </c>
      <c r="F133">
        <v>10</v>
      </c>
      <c r="G133">
        <v>622</v>
      </c>
      <c r="H133">
        <v>6220</v>
      </c>
      <c r="I133" t="s">
        <v>22</v>
      </c>
      <c r="J133" s="2">
        <v>45818</v>
      </c>
      <c r="K133" t="s">
        <v>79</v>
      </c>
    </row>
    <row r="134" spans="1:11" x14ac:dyDescent="0.25">
      <c r="A134" t="s">
        <v>318</v>
      </c>
      <c r="B134" t="s">
        <v>319</v>
      </c>
      <c r="C134" t="s">
        <v>13</v>
      </c>
      <c r="D134" t="s">
        <v>44</v>
      </c>
      <c r="E134" t="s">
        <v>170</v>
      </c>
      <c r="F134">
        <v>10</v>
      </c>
      <c r="G134">
        <v>210</v>
      </c>
      <c r="H134">
        <v>2100</v>
      </c>
      <c r="I134" t="s">
        <v>16</v>
      </c>
      <c r="J134" s="2">
        <v>45832</v>
      </c>
      <c r="K134" t="s">
        <v>79</v>
      </c>
    </row>
    <row r="135" spans="1:11" x14ac:dyDescent="0.25">
      <c r="A135" t="s">
        <v>320</v>
      </c>
      <c r="B135" t="s">
        <v>321</v>
      </c>
      <c r="C135" t="s">
        <v>26</v>
      </c>
      <c r="D135" t="s">
        <v>30</v>
      </c>
      <c r="E135" t="s">
        <v>62</v>
      </c>
      <c r="F135">
        <v>2</v>
      </c>
      <c r="G135">
        <v>908</v>
      </c>
      <c r="I135" t="s">
        <v>27</v>
      </c>
      <c r="J135" s="2">
        <v>45818</v>
      </c>
      <c r="K135" t="s">
        <v>35</v>
      </c>
    </row>
    <row r="136" spans="1:11" x14ac:dyDescent="0.25">
      <c r="A136" t="s">
        <v>322</v>
      </c>
      <c r="B136" t="s">
        <v>323</v>
      </c>
      <c r="C136" t="s">
        <v>26</v>
      </c>
      <c r="D136" t="s">
        <v>30</v>
      </c>
      <c r="E136" t="s">
        <v>70</v>
      </c>
      <c r="F136">
        <v>1</v>
      </c>
      <c r="G136" t="s">
        <v>324</v>
      </c>
      <c r="H136">
        <v>128</v>
      </c>
      <c r="I136" t="s">
        <v>27</v>
      </c>
      <c r="J136" s="2">
        <v>45817</v>
      </c>
      <c r="K136" t="s">
        <v>23</v>
      </c>
    </row>
    <row r="137" spans="1:11" x14ac:dyDescent="0.25">
      <c r="A137" t="s">
        <v>325</v>
      </c>
      <c r="B137" t="s">
        <v>326</v>
      </c>
      <c r="C137" t="s">
        <v>13</v>
      </c>
      <c r="D137" t="s">
        <v>44</v>
      </c>
      <c r="E137" t="s">
        <v>56</v>
      </c>
      <c r="F137">
        <v>10</v>
      </c>
      <c r="G137">
        <v>908</v>
      </c>
      <c r="H137">
        <v>9080</v>
      </c>
      <c r="I137" t="s">
        <v>22</v>
      </c>
      <c r="J137" s="2">
        <v>45831</v>
      </c>
      <c r="K137" t="s">
        <v>35</v>
      </c>
    </row>
    <row r="138" spans="1:11" x14ac:dyDescent="0.25">
      <c r="A138" t="s">
        <v>327</v>
      </c>
      <c r="B138" t="s">
        <v>328</v>
      </c>
      <c r="C138" t="s">
        <v>13</v>
      </c>
      <c r="D138" t="s">
        <v>20</v>
      </c>
      <c r="E138" t="s">
        <v>88</v>
      </c>
      <c r="F138">
        <v>4</v>
      </c>
      <c r="G138">
        <v>663</v>
      </c>
      <c r="H138">
        <v>2652</v>
      </c>
      <c r="I138" t="s">
        <v>22</v>
      </c>
      <c r="J138" s="2">
        <v>45836</v>
      </c>
      <c r="K138" t="s">
        <v>79</v>
      </c>
    </row>
    <row r="139" spans="1:11" x14ac:dyDescent="0.25">
      <c r="A139" t="s">
        <v>329</v>
      </c>
      <c r="B139" t="s">
        <v>330</v>
      </c>
      <c r="C139" t="s">
        <v>13</v>
      </c>
      <c r="D139" t="s">
        <v>20</v>
      </c>
      <c r="E139" t="s">
        <v>112</v>
      </c>
      <c r="F139">
        <v>6</v>
      </c>
      <c r="G139">
        <v>321</v>
      </c>
      <c r="H139">
        <v>2776</v>
      </c>
      <c r="I139" t="s">
        <v>557</v>
      </c>
      <c r="J139" s="2">
        <v>45812</v>
      </c>
      <c r="K139" t="s">
        <v>65</v>
      </c>
    </row>
    <row r="140" spans="1:11" x14ac:dyDescent="0.25">
      <c r="A140" t="s">
        <v>331</v>
      </c>
      <c r="B140" t="s">
        <v>332</v>
      </c>
      <c r="C140" t="s">
        <v>565</v>
      </c>
      <c r="D140" t="s">
        <v>14</v>
      </c>
      <c r="E140" t="s">
        <v>109</v>
      </c>
      <c r="F140">
        <v>8</v>
      </c>
      <c r="G140">
        <v>372</v>
      </c>
      <c r="H140">
        <v>2976</v>
      </c>
      <c r="I140" t="s">
        <v>22</v>
      </c>
      <c r="J140" s="2">
        <v>45835</v>
      </c>
      <c r="K140" t="s">
        <v>65</v>
      </c>
    </row>
    <row r="141" spans="1:11" x14ac:dyDescent="0.25">
      <c r="A141" t="s">
        <v>333</v>
      </c>
      <c r="B141" t="s">
        <v>334</v>
      </c>
      <c r="C141" t="s">
        <v>26</v>
      </c>
      <c r="D141" t="s">
        <v>30</v>
      </c>
      <c r="E141" t="s">
        <v>62</v>
      </c>
      <c r="F141">
        <v>8</v>
      </c>
      <c r="G141">
        <v>656</v>
      </c>
      <c r="H141">
        <v>5248</v>
      </c>
      <c r="I141" t="s">
        <v>22</v>
      </c>
      <c r="J141" s="2">
        <v>45814</v>
      </c>
      <c r="K141" t="s">
        <v>17</v>
      </c>
    </row>
    <row r="142" spans="1:11" x14ac:dyDescent="0.25">
      <c r="A142" t="s">
        <v>335</v>
      </c>
      <c r="B142" t="s">
        <v>336</v>
      </c>
      <c r="C142" t="s">
        <v>26</v>
      </c>
      <c r="D142" t="s">
        <v>14</v>
      </c>
      <c r="E142" t="s">
        <v>99</v>
      </c>
      <c r="F142">
        <v>4</v>
      </c>
      <c r="G142">
        <v>352</v>
      </c>
      <c r="H142">
        <v>1408</v>
      </c>
      <c r="I142" t="s">
        <v>568</v>
      </c>
      <c r="J142" s="2">
        <v>45816</v>
      </c>
      <c r="K142" t="s">
        <v>23</v>
      </c>
    </row>
    <row r="143" spans="1:11" x14ac:dyDescent="0.25">
      <c r="A143" t="s">
        <v>337</v>
      </c>
      <c r="B143" t="s">
        <v>574</v>
      </c>
      <c r="C143" t="s">
        <v>569</v>
      </c>
      <c r="D143" t="s">
        <v>14</v>
      </c>
      <c r="E143" t="s">
        <v>48</v>
      </c>
      <c r="F143">
        <v>8</v>
      </c>
      <c r="G143">
        <v>678</v>
      </c>
      <c r="H143">
        <v>5424</v>
      </c>
      <c r="I143" t="s">
        <v>22</v>
      </c>
      <c r="J143" s="2">
        <v>45835</v>
      </c>
      <c r="K143" t="s">
        <v>65</v>
      </c>
    </row>
    <row r="144" spans="1:11" x14ac:dyDescent="0.25">
      <c r="A144" t="s">
        <v>338</v>
      </c>
      <c r="B144" t="s">
        <v>339</v>
      </c>
      <c r="C144" t="s">
        <v>26</v>
      </c>
      <c r="D144" t="s">
        <v>14</v>
      </c>
      <c r="F144">
        <v>1</v>
      </c>
      <c r="G144">
        <v>527</v>
      </c>
      <c r="H144">
        <v>527</v>
      </c>
      <c r="I144" t="s">
        <v>27</v>
      </c>
      <c r="J144" s="2">
        <v>45816</v>
      </c>
      <c r="K144" t="s">
        <v>31</v>
      </c>
    </row>
    <row r="145" spans="1:11" x14ac:dyDescent="0.25">
      <c r="A145" t="s">
        <v>340</v>
      </c>
      <c r="B145" t="s">
        <v>575</v>
      </c>
      <c r="C145" t="s">
        <v>26</v>
      </c>
      <c r="D145" t="s">
        <v>44</v>
      </c>
      <c r="E145" t="s">
        <v>56</v>
      </c>
      <c r="F145">
        <v>4</v>
      </c>
      <c r="G145">
        <v>795</v>
      </c>
      <c r="H145">
        <v>3180</v>
      </c>
      <c r="I145" t="s">
        <v>27</v>
      </c>
      <c r="J145" s="2">
        <v>45838</v>
      </c>
      <c r="K145" t="s">
        <v>17</v>
      </c>
    </row>
    <row r="146" spans="1:11" x14ac:dyDescent="0.25">
      <c r="A146" t="s">
        <v>341</v>
      </c>
      <c r="C146" t="s">
        <v>26</v>
      </c>
      <c r="D146" t="s">
        <v>30</v>
      </c>
      <c r="E146" t="s">
        <v>38</v>
      </c>
      <c r="F146">
        <v>8</v>
      </c>
      <c r="G146">
        <v>644</v>
      </c>
      <c r="H146">
        <v>5152</v>
      </c>
      <c r="I146" t="s">
        <v>559</v>
      </c>
      <c r="J146" s="2">
        <v>45818</v>
      </c>
      <c r="K146" t="s">
        <v>35</v>
      </c>
    </row>
    <row r="147" spans="1:11" x14ac:dyDescent="0.25">
      <c r="A147" t="s">
        <v>342</v>
      </c>
      <c r="B147" t="s">
        <v>343</v>
      </c>
      <c r="C147" t="s">
        <v>26</v>
      </c>
      <c r="D147" t="s">
        <v>14</v>
      </c>
      <c r="E147" t="s">
        <v>99</v>
      </c>
      <c r="F147">
        <v>3</v>
      </c>
      <c r="G147">
        <v>863</v>
      </c>
      <c r="H147">
        <v>2589</v>
      </c>
      <c r="I147" t="s">
        <v>22</v>
      </c>
      <c r="J147" s="2">
        <v>45833</v>
      </c>
      <c r="K147" t="s">
        <v>65</v>
      </c>
    </row>
    <row r="148" spans="1:11" x14ac:dyDescent="0.25">
      <c r="A148" t="s">
        <v>344</v>
      </c>
      <c r="B148" t="s">
        <v>345</v>
      </c>
      <c r="C148" t="s">
        <v>26</v>
      </c>
      <c r="D148" t="s">
        <v>44</v>
      </c>
      <c r="E148" t="s">
        <v>56</v>
      </c>
      <c r="F148">
        <v>2</v>
      </c>
      <c r="G148">
        <v>503</v>
      </c>
      <c r="H148">
        <v>1006</v>
      </c>
      <c r="I148" t="s">
        <v>22</v>
      </c>
      <c r="J148" s="2">
        <v>45837</v>
      </c>
      <c r="K148" t="s">
        <v>35</v>
      </c>
    </row>
    <row r="149" spans="1:11" x14ac:dyDescent="0.25">
      <c r="A149" t="s">
        <v>346</v>
      </c>
      <c r="B149" t="s">
        <v>347</v>
      </c>
      <c r="C149" t="s">
        <v>26</v>
      </c>
      <c r="D149" t="s">
        <v>44</v>
      </c>
      <c r="E149" t="s">
        <v>125</v>
      </c>
      <c r="F149">
        <v>1</v>
      </c>
      <c r="G149">
        <v>326</v>
      </c>
      <c r="H149">
        <v>326</v>
      </c>
      <c r="I149" t="s">
        <v>22</v>
      </c>
      <c r="J149" s="2">
        <v>45816</v>
      </c>
      <c r="K149" t="s">
        <v>65</v>
      </c>
    </row>
    <row r="150" spans="1:11" x14ac:dyDescent="0.25">
      <c r="A150" t="s">
        <v>348</v>
      </c>
      <c r="B150" t="s">
        <v>349</v>
      </c>
      <c r="C150" t="s">
        <v>26</v>
      </c>
      <c r="D150" t="s">
        <v>20</v>
      </c>
      <c r="E150" t="s">
        <v>112</v>
      </c>
      <c r="F150">
        <v>7</v>
      </c>
      <c r="G150">
        <v>987</v>
      </c>
      <c r="H150">
        <v>6909</v>
      </c>
      <c r="I150" t="s">
        <v>27</v>
      </c>
      <c r="J150" t="s">
        <v>350</v>
      </c>
      <c r="K150" t="s">
        <v>79</v>
      </c>
    </row>
    <row r="151" spans="1:11" x14ac:dyDescent="0.25">
      <c r="A151" t="s">
        <v>351</v>
      </c>
      <c r="B151" t="s">
        <v>352</v>
      </c>
      <c r="C151" t="s">
        <v>26</v>
      </c>
      <c r="D151" t="s">
        <v>14</v>
      </c>
      <c r="E151" t="s">
        <v>109</v>
      </c>
      <c r="F151">
        <v>5</v>
      </c>
      <c r="G151">
        <v>494</v>
      </c>
      <c r="H151">
        <v>2470</v>
      </c>
      <c r="I151" t="s">
        <v>557</v>
      </c>
      <c r="J151" s="2">
        <v>45840</v>
      </c>
      <c r="K151" t="s">
        <v>17</v>
      </c>
    </row>
    <row r="152" spans="1:11" x14ac:dyDescent="0.25">
      <c r="A152" t="s">
        <v>353</v>
      </c>
      <c r="B152" t="s">
        <v>354</v>
      </c>
      <c r="C152" t="s">
        <v>13</v>
      </c>
      <c r="D152" t="s">
        <v>20</v>
      </c>
      <c r="E152" t="s">
        <v>88</v>
      </c>
      <c r="F152">
        <v>3</v>
      </c>
      <c r="G152">
        <v>747</v>
      </c>
      <c r="H152">
        <v>2241</v>
      </c>
      <c r="I152" t="s">
        <v>22</v>
      </c>
      <c r="J152" s="2">
        <v>45825</v>
      </c>
      <c r="K152" t="s">
        <v>35</v>
      </c>
    </row>
    <row r="153" spans="1:11" x14ac:dyDescent="0.25">
      <c r="A153" t="s">
        <v>355</v>
      </c>
      <c r="B153" t="s">
        <v>356</v>
      </c>
      <c r="C153" t="s">
        <v>26</v>
      </c>
      <c r="D153" t="s">
        <v>20</v>
      </c>
      <c r="E153" t="s">
        <v>75</v>
      </c>
      <c r="F153">
        <v>6</v>
      </c>
      <c r="G153">
        <v>740</v>
      </c>
      <c r="H153">
        <v>4440</v>
      </c>
      <c r="I153" t="s">
        <v>557</v>
      </c>
      <c r="J153" t="s">
        <v>357</v>
      </c>
      <c r="K153" t="s">
        <v>23</v>
      </c>
    </row>
    <row r="154" spans="1:11" x14ac:dyDescent="0.25">
      <c r="A154" t="s">
        <v>358</v>
      </c>
      <c r="B154" t="s">
        <v>359</v>
      </c>
      <c r="C154" t="s">
        <v>26</v>
      </c>
      <c r="D154" t="s">
        <v>14</v>
      </c>
      <c r="E154" t="s">
        <v>48</v>
      </c>
      <c r="F154">
        <v>6</v>
      </c>
      <c r="G154">
        <v>361</v>
      </c>
      <c r="H154">
        <v>2166</v>
      </c>
      <c r="I154" t="s">
        <v>557</v>
      </c>
      <c r="J154" s="2">
        <v>45828</v>
      </c>
      <c r="K154" t="s">
        <v>23</v>
      </c>
    </row>
    <row r="155" spans="1:11" x14ac:dyDescent="0.25">
      <c r="A155" t="s">
        <v>360</v>
      </c>
      <c r="B155" t="s">
        <v>361</v>
      </c>
      <c r="C155" t="s">
        <v>13</v>
      </c>
      <c r="D155" t="s">
        <v>14</v>
      </c>
      <c r="E155" t="s">
        <v>48</v>
      </c>
      <c r="F155">
        <v>10</v>
      </c>
      <c r="G155">
        <v>128</v>
      </c>
      <c r="H155">
        <v>1280</v>
      </c>
      <c r="I155" t="s">
        <v>557</v>
      </c>
      <c r="J155" s="2">
        <v>45819</v>
      </c>
      <c r="K155" t="s">
        <v>23</v>
      </c>
    </row>
    <row r="156" spans="1:11" x14ac:dyDescent="0.25">
      <c r="A156" t="s">
        <v>362</v>
      </c>
      <c r="B156" t="s">
        <v>363</v>
      </c>
      <c r="C156" t="s">
        <v>13</v>
      </c>
      <c r="D156" t="s">
        <v>30</v>
      </c>
      <c r="E156" t="s">
        <v>34</v>
      </c>
      <c r="F156">
        <v>9</v>
      </c>
      <c r="G156">
        <v>818</v>
      </c>
      <c r="H156">
        <v>7362</v>
      </c>
      <c r="I156" t="s">
        <v>27</v>
      </c>
      <c r="J156" s="2">
        <v>45833</v>
      </c>
    </row>
    <row r="157" spans="1:11" x14ac:dyDescent="0.25">
      <c r="A157" t="s">
        <v>364</v>
      </c>
      <c r="B157" t="s">
        <v>365</v>
      </c>
      <c r="C157" t="s">
        <v>13</v>
      </c>
      <c r="D157" t="s">
        <v>30</v>
      </c>
      <c r="E157" t="s">
        <v>62</v>
      </c>
      <c r="F157">
        <v>8</v>
      </c>
      <c r="G157">
        <v>196</v>
      </c>
      <c r="H157">
        <v>1568</v>
      </c>
      <c r="I157" t="s">
        <v>27</v>
      </c>
      <c r="J157" t="s">
        <v>366</v>
      </c>
      <c r="K157" t="s">
        <v>31</v>
      </c>
    </row>
    <row r="158" spans="1:11" x14ac:dyDescent="0.25">
      <c r="A158" t="s">
        <v>367</v>
      </c>
      <c r="B158" t="s">
        <v>368</v>
      </c>
      <c r="C158" t="s">
        <v>26</v>
      </c>
      <c r="D158" t="s">
        <v>44</v>
      </c>
      <c r="E158" t="s">
        <v>170</v>
      </c>
      <c r="F158">
        <v>7</v>
      </c>
      <c r="G158">
        <v>864</v>
      </c>
      <c r="H158">
        <v>6048</v>
      </c>
      <c r="I158" t="s">
        <v>27</v>
      </c>
      <c r="J158" s="2">
        <v>45826</v>
      </c>
      <c r="K158" t="s">
        <v>79</v>
      </c>
    </row>
    <row r="159" spans="1:11" x14ac:dyDescent="0.25">
      <c r="A159" t="s">
        <v>369</v>
      </c>
      <c r="B159" t="s">
        <v>370</v>
      </c>
      <c r="C159" t="s">
        <v>13</v>
      </c>
      <c r="D159" t="s">
        <v>14</v>
      </c>
      <c r="E159" t="s">
        <v>15</v>
      </c>
      <c r="F159">
        <v>7</v>
      </c>
      <c r="G159">
        <v>599</v>
      </c>
      <c r="H159">
        <v>4193</v>
      </c>
      <c r="I159" t="s">
        <v>557</v>
      </c>
      <c r="J159" s="2">
        <v>45830</v>
      </c>
      <c r="K159" t="s">
        <v>23</v>
      </c>
    </row>
    <row r="160" spans="1:11" x14ac:dyDescent="0.25">
      <c r="A160" t="s">
        <v>371</v>
      </c>
      <c r="B160" t="s">
        <v>372</v>
      </c>
      <c r="C160" t="s">
        <v>26</v>
      </c>
      <c r="D160" t="s">
        <v>44</v>
      </c>
      <c r="E160" t="s">
        <v>45</v>
      </c>
      <c r="F160">
        <v>2</v>
      </c>
      <c r="G160">
        <v>271</v>
      </c>
      <c r="H160">
        <v>542</v>
      </c>
      <c r="I160" t="s">
        <v>22</v>
      </c>
      <c r="J160" s="2">
        <v>45833</v>
      </c>
      <c r="K160" t="s">
        <v>35</v>
      </c>
    </row>
    <row r="161" spans="1:11" x14ac:dyDescent="0.25">
      <c r="A161" t="s">
        <v>373</v>
      </c>
      <c r="B161" t="s">
        <v>374</v>
      </c>
      <c r="C161" t="s">
        <v>13</v>
      </c>
      <c r="D161" t="s">
        <v>30</v>
      </c>
      <c r="E161" t="s">
        <v>38</v>
      </c>
      <c r="F161" t="s">
        <v>576</v>
      </c>
      <c r="G161">
        <v>881</v>
      </c>
      <c r="H161">
        <v>3524</v>
      </c>
      <c r="I161" t="s">
        <v>557</v>
      </c>
      <c r="J161" s="2">
        <v>45839</v>
      </c>
      <c r="K161" t="s">
        <v>23</v>
      </c>
    </row>
    <row r="162" spans="1:11" x14ac:dyDescent="0.25">
      <c r="A162" t="s">
        <v>375</v>
      </c>
      <c r="B162" t="s">
        <v>376</v>
      </c>
      <c r="C162" t="s">
        <v>26</v>
      </c>
      <c r="D162" t="s">
        <v>14</v>
      </c>
      <c r="E162" t="s">
        <v>109</v>
      </c>
      <c r="F162">
        <v>6</v>
      </c>
      <c r="G162">
        <v>886</v>
      </c>
      <c r="H162">
        <v>5316</v>
      </c>
      <c r="I162" t="s">
        <v>16</v>
      </c>
      <c r="J162" s="2">
        <v>45834</v>
      </c>
      <c r="K162" t="s">
        <v>79</v>
      </c>
    </row>
    <row r="163" spans="1:11" x14ac:dyDescent="0.25">
      <c r="A163" t="s">
        <v>377</v>
      </c>
      <c r="B163" t="s">
        <v>378</v>
      </c>
      <c r="C163" t="s">
        <v>26</v>
      </c>
      <c r="D163" t="s">
        <v>30</v>
      </c>
      <c r="E163" t="s">
        <v>38</v>
      </c>
      <c r="F163">
        <v>8</v>
      </c>
      <c r="G163">
        <v>363</v>
      </c>
      <c r="H163">
        <v>2904</v>
      </c>
      <c r="I163" t="s">
        <v>557</v>
      </c>
      <c r="J163" s="2">
        <v>45814</v>
      </c>
      <c r="K163" t="s">
        <v>23</v>
      </c>
    </row>
    <row r="164" spans="1:11" x14ac:dyDescent="0.25">
      <c r="A164" t="s">
        <v>379</v>
      </c>
      <c r="B164" t="s">
        <v>380</v>
      </c>
      <c r="C164" t="s">
        <v>13</v>
      </c>
      <c r="D164" t="s">
        <v>20</v>
      </c>
      <c r="E164" t="s">
        <v>88</v>
      </c>
      <c r="F164">
        <v>7</v>
      </c>
      <c r="G164">
        <v>367</v>
      </c>
      <c r="H164">
        <v>2569</v>
      </c>
      <c r="I164" t="s">
        <v>22</v>
      </c>
      <c r="J164" s="2">
        <v>45814</v>
      </c>
      <c r="K164" t="s">
        <v>577</v>
      </c>
    </row>
    <row r="165" spans="1:11" x14ac:dyDescent="0.25">
      <c r="A165" t="s">
        <v>381</v>
      </c>
      <c r="B165" t="s">
        <v>382</v>
      </c>
      <c r="C165" t="s">
        <v>26</v>
      </c>
      <c r="D165" t="s">
        <v>30</v>
      </c>
      <c r="E165" t="s">
        <v>38</v>
      </c>
      <c r="F165">
        <v>10</v>
      </c>
      <c r="G165">
        <v>463</v>
      </c>
      <c r="H165">
        <v>4630</v>
      </c>
      <c r="I165" t="s">
        <v>22</v>
      </c>
      <c r="J165" s="2">
        <v>45837</v>
      </c>
      <c r="K165" t="s">
        <v>31</v>
      </c>
    </row>
    <row r="166" spans="1:11" x14ac:dyDescent="0.25">
      <c r="A166" t="s">
        <v>383</v>
      </c>
      <c r="B166" t="s">
        <v>384</v>
      </c>
      <c r="C166" t="s">
        <v>13</v>
      </c>
      <c r="D166" t="s">
        <v>20</v>
      </c>
      <c r="E166" t="s">
        <v>75</v>
      </c>
      <c r="F166">
        <v>6</v>
      </c>
      <c r="G166">
        <v>564</v>
      </c>
      <c r="H166">
        <v>3744</v>
      </c>
      <c r="I166" t="s">
        <v>27</v>
      </c>
      <c r="J166" s="2">
        <v>45840</v>
      </c>
      <c r="K166" t="s">
        <v>65</v>
      </c>
    </row>
    <row r="167" spans="1:11" x14ac:dyDescent="0.25">
      <c r="A167" t="s">
        <v>385</v>
      </c>
      <c r="B167" t="s">
        <v>386</v>
      </c>
      <c r="C167" t="s">
        <v>26</v>
      </c>
      <c r="D167" t="s">
        <v>14</v>
      </c>
      <c r="E167" t="s">
        <v>109</v>
      </c>
      <c r="F167">
        <v>1</v>
      </c>
      <c r="G167">
        <v>658</v>
      </c>
      <c r="H167">
        <v>658</v>
      </c>
      <c r="I167" t="s">
        <v>27</v>
      </c>
      <c r="J167" s="2">
        <v>45838</v>
      </c>
      <c r="K167" t="s">
        <v>79</v>
      </c>
    </row>
    <row r="168" spans="1:11" x14ac:dyDescent="0.25">
      <c r="A168" t="s">
        <v>387</v>
      </c>
      <c r="B168" t="s">
        <v>388</v>
      </c>
      <c r="C168" t="s">
        <v>13</v>
      </c>
      <c r="D168" t="s">
        <v>14</v>
      </c>
      <c r="E168" t="s">
        <v>15</v>
      </c>
      <c r="F168">
        <v>8</v>
      </c>
      <c r="G168">
        <v>861</v>
      </c>
      <c r="H168">
        <v>6888</v>
      </c>
      <c r="I168" t="s">
        <v>16</v>
      </c>
      <c r="J168" s="2">
        <v>45829</v>
      </c>
      <c r="K168" t="s">
        <v>31</v>
      </c>
    </row>
    <row r="169" spans="1:11" x14ac:dyDescent="0.25">
      <c r="A169" t="s">
        <v>389</v>
      </c>
      <c r="B169" t="s">
        <v>390</v>
      </c>
      <c r="C169" t="s">
        <v>13</v>
      </c>
      <c r="D169" t="s">
        <v>14</v>
      </c>
      <c r="E169" t="s">
        <v>15</v>
      </c>
      <c r="F169">
        <v>3</v>
      </c>
      <c r="G169">
        <v>376</v>
      </c>
      <c r="H169">
        <v>1128</v>
      </c>
      <c r="I169" t="s">
        <v>16</v>
      </c>
      <c r="J169" s="2">
        <v>45826</v>
      </c>
      <c r="K169" t="s">
        <v>293</v>
      </c>
    </row>
    <row r="170" spans="1:11" x14ac:dyDescent="0.25">
      <c r="A170" t="s">
        <v>391</v>
      </c>
      <c r="B170" t="s">
        <v>392</v>
      </c>
      <c r="C170" t="s">
        <v>26</v>
      </c>
      <c r="D170" t="s">
        <v>14</v>
      </c>
      <c r="E170" t="s">
        <v>99</v>
      </c>
      <c r="F170">
        <v>10</v>
      </c>
      <c r="G170">
        <v>440</v>
      </c>
      <c r="H170">
        <v>4400</v>
      </c>
      <c r="I170" t="s">
        <v>22</v>
      </c>
      <c r="J170" s="2">
        <v>45828</v>
      </c>
      <c r="K170" t="s">
        <v>293</v>
      </c>
    </row>
    <row r="171" spans="1:11" x14ac:dyDescent="0.25">
      <c r="A171" t="s">
        <v>393</v>
      </c>
      <c r="B171" t="s">
        <v>394</v>
      </c>
      <c r="C171" t="s">
        <v>13</v>
      </c>
      <c r="D171" t="s">
        <v>30</v>
      </c>
      <c r="E171" t="s">
        <v>62</v>
      </c>
      <c r="F171">
        <v>8</v>
      </c>
      <c r="G171">
        <v>260</v>
      </c>
      <c r="H171">
        <v>2080</v>
      </c>
      <c r="I171" t="s">
        <v>557</v>
      </c>
      <c r="J171" s="2">
        <v>45823</v>
      </c>
      <c r="K171" t="s">
        <v>65</v>
      </c>
    </row>
    <row r="172" spans="1:11" x14ac:dyDescent="0.25">
      <c r="A172" t="s">
        <v>395</v>
      </c>
      <c r="B172" t="s">
        <v>396</v>
      </c>
      <c r="C172" t="s">
        <v>13</v>
      </c>
      <c r="D172" t="s">
        <v>20</v>
      </c>
      <c r="E172" t="s">
        <v>75</v>
      </c>
      <c r="F172">
        <v>9</v>
      </c>
      <c r="G172">
        <v>220</v>
      </c>
      <c r="H172">
        <v>2643</v>
      </c>
      <c r="I172" t="s">
        <v>16</v>
      </c>
      <c r="J172" s="2">
        <v>45839</v>
      </c>
      <c r="K172" t="s">
        <v>17</v>
      </c>
    </row>
    <row r="173" spans="1:11" x14ac:dyDescent="0.25">
      <c r="A173" t="s">
        <v>397</v>
      </c>
      <c r="B173" t="s">
        <v>398</v>
      </c>
      <c r="C173" t="s">
        <v>13</v>
      </c>
      <c r="D173" t="s">
        <v>30</v>
      </c>
      <c r="E173" t="s">
        <v>62</v>
      </c>
      <c r="F173">
        <v>7</v>
      </c>
      <c r="G173">
        <v>994</v>
      </c>
      <c r="H173">
        <v>6958</v>
      </c>
      <c r="I173" t="s">
        <v>27</v>
      </c>
      <c r="J173" s="2">
        <v>45821</v>
      </c>
      <c r="K173" t="s">
        <v>65</v>
      </c>
    </row>
    <row r="174" spans="1:11" x14ac:dyDescent="0.25">
      <c r="A174" t="s">
        <v>399</v>
      </c>
      <c r="B174" t="s">
        <v>400</v>
      </c>
      <c r="C174" t="s">
        <v>26</v>
      </c>
      <c r="D174" t="s">
        <v>30</v>
      </c>
      <c r="E174" t="s">
        <v>143</v>
      </c>
      <c r="F174">
        <v>10</v>
      </c>
      <c r="G174">
        <v>583</v>
      </c>
      <c r="H174">
        <v>5830</v>
      </c>
      <c r="I174" t="s">
        <v>27</v>
      </c>
      <c r="J174" s="2">
        <v>45839</v>
      </c>
      <c r="K174" t="s">
        <v>23</v>
      </c>
    </row>
    <row r="175" spans="1:11" x14ac:dyDescent="0.25">
      <c r="A175" t="s">
        <v>401</v>
      </c>
      <c r="B175" t="s">
        <v>402</v>
      </c>
      <c r="C175" t="s">
        <v>26</v>
      </c>
      <c r="D175" t="s">
        <v>20</v>
      </c>
      <c r="E175" t="s">
        <v>88</v>
      </c>
      <c r="F175">
        <v>4</v>
      </c>
      <c r="G175">
        <v>195</v>
      </c>
      <c r="H175">
        <v>780</v>
      </c>
      <c r="I175" t="s">
        <v>22</v>
      </c>
      <c r="J175" s="2">
        <v>45814</v>
      </c>
      <c r="K175" t="s">
        <v>79</v>
      </c>
    </row>
    <row r="176" spans="1:11" x14ac:dyDescent="0.25">
      <c r="A176" t="s">
        <v>403</v>
      </c>
      <c r="B176" t="s">
        <v>404</v>
      </c>
      <c r="C176" t="s">
        <v>26</v>
      </c>
      <c r="D176" t="s">
        <v>20</v>
      </c>
      <c r="E176" t="s">
        <v>21</v>
      </c>
      <c r="F176">
        <v>8</v>
      </c>
      <c r="G176">
        <v>345</v>
      </c>
      <c r="H176">
        <v>2760</v>
      </c>
      <c r="I176" t="s">
        <v>27</v>
      </c>
      <c r="J176" s="2">
        <v>45833</v>
      </c>
      <c r="K176" t="s">
        <v>35</v>
      </c>
    </row>
    <row r="177" spans="1:11" x14ac:dyDescent="0.25">
      <c r="A177" t="s">
        <v>405</v>
      </c>
      <c r="B177" t="s">
        <v>406</v>
      </c>
      <c r="C177" t="s">
        <v>163</v>
      </c>
      <c r="D177" t="s">
        <v>14</v>
      </c>
      <c r="E177" t="s">
        <v>15</v>
      </c>
      <c r="F177">
        <v>3</v>
      </c>
      <c r="G177">
        <v>178</v>
      </c>
      <c r="H177">
        <v>534</v>
      </c>
      <c r="I177" t="s">
        <v>16</v>
      </c>
      <c r="J177" s="2">
        <v>45827</v>
      </c>
      <c r="K177" t="s">
        <v>23</v>
      </c>
    </row>
    <row r="178" spans="1:11" x14ac:dyDescent="0.25">
      <c r="A178" t="s">
        <v>407</v>
      </c>
      <c r="B178" t="s">
        <v>408</v>
      </c>
      <c r="C178" t="s">
        <v>26</v>
      </c>
      <c r="D178" t="s">
        <v>30</v>
      </c>
      <c r="E178" t="s">
        <v>70</v>
      </c>
      <c r="F178">
        <v>8</v>
      </c>
      <c r="G178">
        <v>262</v>
      </c>
      <c r="H178">
        <v>2096</v>
      </c>
      <c r="I178" t="s">
        <v>557</v>
      </c>
      <c r="J178" s="2">
        <v>45825</v>
      </c>
      <c r="K178" t="s">
        <v>23</v>
      </c>
    </row>
    <row r="179" spans="1:11" x14ac:dyDescent="0.25">
      <c r="A179" t="s">
        <v>409</v>
      </c>
      <c r="B179" t="s">
        <v>410</v>
      </c>
      <c r="C179" t="s">
        <v>13</v>
      </c>
      <c r="D179" t="s">
        <v>44</v>
      </c>
      <c r="E179" t="s">
        <v>56</v>
      </c>
      <c r="F179">
        <v>4</v>
      </c>
      <c r="G179">
        <v>386</v>
      </c>
      <c r="H179">
        <v>1544</v>
      </c>
      <c r="I179" t="s">
        <v>16</v>
      </c>
      <c r="J179" s="2">
        <v>45831</v>
      </c>
      <c r="K179" t="s">
        <v>17</v>
      </c>
    </row>
    <row r="180" spans="1:11" x14ac:dyDescent="0.25">
      <c r="A180" t="s">
        <v>411</v>
      </c>
      <c r="B180" t="s">
        <v>412</v>
      </c>
      <c r="C180" t="s">
        <v>13</v>
      </c>
      <c r="D180" t="s">
        <v>30</v>
      </c>
      <c r="E180" t="s">
        <v>38</v>
      </c>
      <c r="F180">
        <v>5</v>
      </c>
      <c r="G180">
        <v>481</v>
      </c>
      <c r="H180">
        <v>2405</v>
      </c>
      <c r="I180" t="s">
        <v>27</v>
      </c>
      <c r="J180" s="2">
        <v>45830</v>
      </c>
      <c r="K180" t="s">
        <v>65</v>
      </c>
    </row>
    <row r="181" spans="1:11" x14ac:dyDescent="0.25">
      <c r="A181" t="s">
        <v>413</v>
      </c>
      <c r="B181" t="s">
        <v>414</v>
      </c>
      <c r="C181" t="s">
        <v>26</v>
      </c>
      <c r="D181" t="s">
        <v>14</v>
      </c>
      <c r="E181" t="s">
        <v>99</v>
      </c>
      <c r="F181">
        <v>4</v>
      </c>
      <c r="G181">
        <v>367</v>
      </c>
      <c r="H181">
        <v>1468</v>
      </c>
      <c r="I181" t="s">
        <v>27</v>
      </c>
      <c r="J181" s="2">
        <v>45831</v>
      </c>
      <c r="K181" t="s">
        <v>79</v>
      </c>
    </row>
    <row r="182" spans="1:11" x14ac:dyDescent="0.25">
      <c r="A182" t="s">
        <v>415</v>
      </c>
      <c r="B182" t="s">
        <v>416</v>
      </c>
      <c r="C182" t="s">
        <v>13</v>
      </c>
      <c r="D182" t="s">
        <v>44</v>
      </c>
      <c r="E182" t="s">
        <v>170</v>
      </c>
      <c r="F182">
        <v>7</v>
      </c>
      <c r="G182">
        <v>373</v>
      </c>
      <c r="H182">
        <v>2611</v>
      </c>
      <c r="I182" t="s">
        <v>22</v>
      </c>
      <c r="J182" s="2">
        <v>45830</v>
      </c>
      <c r="K182" t="s">
        <v>23</v>
      </c>
    </row>
    <row r="183" spans="1:11" x14ac:dyDescent="0.25">
      <c r="A183" t="s">
        <v>417</v>
      </c>
      <c r="B183" t="s">
        <v>418</v>
      </c>
      <c r="C183" t="s">
        <v>13</v>
      </c>
      <c r="D183" t="s">
        <v>30</v>
      </c>
      <c r="E183" t="s">
        <v>34</v>
      </c>
      <c r="F183">
        <v>5</v>
      </c>
      <c r="G183">
        <v>767</v>
      </c>
      <c r="H183">
        <v>3835</v>
      </c>
      <c r="I183" t="s">
        <v>16</v>
      </c>
      <c r="J183" s="2">
        <v>45822</v>
      </c>
      <c r="K183" t="s">
        <v>65</v>
      </c>
    </row>
    <row r="184" spans="1:11" x14ac:dyDescent="0.25">
      <c r="A184" t="s">
        <v>419</v>
      </c>
      <c r="B184" t="s">
        <v>420</v>
      </c>
      <c r="C184" t="s">
        <v>26</v>
      </c>
      <c r="D184" t="s">
        <v>20</v>
      </c>
      <c r="E184" t="s">
        <v>75</v>
      </c>
      <c r="F184">
        <v>1</v>
      </c>
      <c r="G184">
        <v>654</v>
      </c>
      <c r="H184">
        <v>654</v>
      </c>
      <c r="I184" t="s">
        <v>16</v>
      </c>
      <c r="J184" s="2">
        <v>45818</v>
      </c>
      <c r="K184" t="s">
        <v>31</v>
      </c>
    </row>
    <row r="185" spans="1:11" x14ac:dyDescent="0.25">
      <c r="A185" t="s">
        <v>421</v>
      </c>
      <c r="B185" t="s">
        <v>578</v>
      </c>
      <c r="C185" t="s">
        <v>13</v>
      </c>
      <c r="D185" t="s">
        <v>20</v>
      </c>
      <c r="E185" t="s">
        <v>75</v>
      </c>
      <c r="F185">
        <v>2</v>
      </c>
      <c r="G185">
        <v>161</v>
      </c>
      <c r="H185">
        <v>322</v>
      </c>
      <c r="I185" t="s">
        <v>27</v>
      </c>
      <c r="J185" s="2">
        <v>45828</v>
      </c>
      <c r="K185" t="s">
        <v>31</v>
      </c>
    </row>
    <row r="186" spans="1:11" x14ac:dyDescent="0.25">
      <c r="A186" t="s">
        <v>422</v>
      </c>
      <c r="B186" t="s">
        <v>423</v>
      </c>
      <c r="C186" t="s">
        <v>26</v>
      </c>
      <c r="D186" t="s">
        <v>14</v>
      </c>
      <c r="E186" t="s">
        <v>78</v>
      </c>
      <c r="F186">
        <v>6</v>
      </c>
      <c r="G186">
        <v>399</v>
      </c>
      <c r="H186">
        <v>2394</v>
      </c>
      <c r="I186" t="s">
        <v>22</v>
      </c>
      <c r="J186" s="2">
        <v>45837</v>
      </c>
      <c r="K186" t="s">
        <v>79</v>
      </c>
    </row>
    <row r="187" spans="1:11" x14ac:dyDescent="0.25">
      <c r="A187" t="s">
        <v>424</v>
      </c>
      <c r="B187" t="s">
        <v>425</v>
      </c>
      <c r="C187" t="s">
        <v>26</v>
      </c>
      <c r="D187" t="s">
        <v>30</v>
      </c>
      <c r="F187">
        <v>8</v>
      </c>
      <c r="G187">
        <v>566</v>
      </c>
      <c r="H187">
        <v>4528</v>
      </c>
      <c r="I187" t="s">
        <v>27</v>
      </c>
      <c r="J187" s="2">
        <v>45815</v>
      </c>
      <c r="K187" t="s">
        <v>65</v>
      </c>
    </row>
    <row r="188" spans="1:11" x14ac:dyDescent="0.25">
      <c r="A188" t="s">
        <v>426</v>
      </c>
      <c r="B188" t="s">
        <v>427</v>
      </c>
      <c r="C188" t="s">
        <v>13</v>
      </c>
      <c r="D188" t="s">
        <v>30</v>
      </c>
      <c r="E188" t="s">
        <v>62</v>
      </c>
      <c r="F188">
        <v>10</v>
      </c>
      <c r="G188">
        <v>694</v>
      </c>
      <c r="H188">
        <v>6940</v>
      </c>
      <c r="I188" t="s">
        <v>557</v>
      </c>
      <c r="J188" s="2">
        <v>45824</v>
      </c>
      <c r="K188" t="s">
        <v>65</v>
      </c>
    </row>
    <row r="189" spans="1:11" x14ac:dyDescent="0.25">
      <c r="A189" t="s">
        <v>428</v>
      </c>
      <c r="B189" t="s">
        <v>429</v>
      </c>
      <c r="C189" t="s">
        <v>26</v>
      </c>
      <c r="D189" t="s">
        <v>14</v>
      </c>
      <c r="E189" t="s">
        <v>109</v>
      </c>
      <c r="F189">
        <v>2</v>
      </c>
      <c r="G189">
        <v>803</v>
      </c>
      <c r="H189">
        <v>1975</v>
      </c>
      <c r="I189" t="s">
        <v>557</v>
      </c>
      <c r="J189" s="2">
        <v>45823</v>
      </c>
      <c r="K189" t="s">
        <v>23</v>
      </c>
    </row>
    <row r="190" spans="1:11" x14ac:dyDescent="0.25">
      <c r="A190" t="s">
        <v>430</v>
      </c>
      <c r="B190" t="s">
        <v>579</v>
      </c>
      <c r="C190" t="s">
        <v>13</v>
      </c>
      <c r="D190" t="s">
        <v>20</v>
      </c>
      <c r="E190" t="s">
        <v>88</v>
      </c>
      <c r="F190">
        <v>4</v>
      </c>
      <c r="G190">
        <v>959</v>
      </c>
      <c r="H190">
        <v>3836</v>
      </c>
      <c r="I190" t="s">
        <v>557</v>
      </c>
      <c r="J190" s="2">
        <v>45828</v>
      </c>
      <c r="K190" t="s">
        <v>31</v>
      </c>
    </row>
    <row r="191" spans="1:11" x14ac:dyDescent="0.25">
      <c r="A191" t="s">
        <v>431</v>
      </c>
      <c r="B191" t="s">
        <v>432</v>
      </c>
      <c r="C191" t="s">
        <v>26</v>
      </c>
      <c r="D191" t="s">
        <v>30</v>
      </c>
      <c r="E191" t="s">
        <v>70</v>
      </c>
      <c r="F191">
        <v>10</v>
      </c>
      <c r="G191">
        <v>467</v>
      </c>
      <c r="H191">
        <v>4670</v>
      </c>
      <c r="I191" t="s">
        <v>22</v>
      </c>
      <c r="J191" s="2">
        <v>45827</v>
      </c>
      <c r="K191" t="s">
        <v>17</v>
      </c>
    </row>
    <row r="192" spans="1:11" x14ac:dyDescent="0.25">
      <c r="A192" t="s">
        <v>433</v>
      </c>
      <c r="B192" t="s">
        <v>434</v>
      </c>
      <c r="C192" t="s">
        <v>26</v>
      </c>
      <c r="D192" t="s">
        <v>20</v>
      </c>
      <c r="E192" t="s">
        <v>21</v>
      </c>
      <c r="F192">
        <v>6</v>
      </c>
      <c r="G192">
        <v>661</v>
      </c>
      <c r="H192">
        <v>3966</v>
      </c>
      <c r="I192" t="s">
        <v>27</v>
      </c>
      <c r="J192" s="2">
        <v>45831</v>
      </c>
      <c r="K192" t="s">
        <v>577</v>
      </c>
    </row>
    <row r="193" spans="1:11" x14ac:dyDescent="0.25">
      <c r="A193" t="s">
        <v>435</v>
      </c>
      <c r="B193" t="s">
        <v>436</v>
      </c>
      <c r="C193" t="s">
        <v>13</v>
      </c>
      <c r="D193" t="s">
        <v>14</v>
      </c>
      <c r="E193" t="s">
        <v>99</v>
      </c>
      <c r="F193">
        <v>9</v>
      </c>
      <c r="G193">
        <v>58</v>
      </c>
      <c r="H193">
        <v>522</v>
      </c>
      <c r="I193" t="s">
        <v>27</v>
      </c>
      <c r="J193" s="2">
        <v>45811</v>
      </c>
      <c r="K193" t="s">
        <v>31</v>
      </c>
    </row>
    <row r="194" spans="1:11" x14ac:dyDescent="0.25">
      <c r="A194" t="s">
        <v>437</v>
      </c>
      <c r="B194" t="s">
        <v>438</v>
      </c>
      <c r="C194" t="s">
        <v>26</v>
      </c>
      <c r="D194" t="s">
        <v>30</v>
      </c>
      <c r="E194" t="s">
        <v>143</v>
      </c>
      <c r="F194">
        <v>7</v>
      </c>
      <c r="G194">
        <v>336</v>
      </c>
      <c r="H194">
        <v>2352</v>
      </c>
      <c r="I194" t="s">
        <v>557</v>
      </c>
      <c r="J194" s="2">
        <v>45823</v>
      </c>
      <c r="K194" t="s">
        <v>31</v>
      </c>
    </row>
    <row r="195" spans="1:11" x14ac:dyDescent="0.25">
      <c r="A195" t="s">
        <v>439</v>
      </c>
      <c r="B195" t="s">
        <v>440</v>
      </c>
      <c r="C195" t="s">
        <v>26</v>
      </c>
      <c r="D195" t="s">
        <v>20</v>
      </c>
      <c r="E195" t="s">
        <v>41</v>
      </c>
      <c r="F195">
        <v>3</v>
      </c>
      <c r="G195">
        <v>487</v>
      </c>
      <c r="H195">
        <v>1461</v>
      </c>
      <c r="I195" t="s">
        <v>557</v>
      </c>
      <c r="J195" s="2">
        <v>45838</v>
      </c>
      <c r="K195" t="s">
        <v>31</v>
      </c>
    </row>
    <row r="196" spans="1:11" x14ac:dyDescent="0.25">
      <c r="A196" t="s">
        <v>441</v>
      </c>
      <c r="B196" t="s">
        <v>442</v>
      </c>
      <c r="C196" t="s">
        <v>26</v>
      </c>
      <c r="D196" t="s">
        <v>44</v>
      </c>
      <c r="E196" t="s">
        <v>125</v>
      </c>
      <c r="F196">
        <v>9</v>
      </c>
      <c r="G196">
        <v>681</v>
      </c>
      <c r="H196">
        <v>6129</v>
      </c>
      <c r="I196" t="s">
        <v>22</v>
      </c>
      <c r="J196" s="2">
        <v>45811</v>
      </c>
      <c r="K196" t="s">
        <v>65</v>
      </c>
    </row>
    <row r="197" spans="1:11" x14ac:dyDescent="0.25">
      <c r="A197" t="s">
        <v>443</v>
      </c>
      <c r="B197" t="s">
        <v>444</v>
      </c>
      <c r="C197" t="s">
        <v>26</v>
      </c>
      <c r="D197" t="s">
        <v>44</v>
      </c>
      <c r="E197" t="s">
        <v>45</v>
      </c>
      <c r="F197">
        <v>8</v>
      </c>
      <c r="G197">
        <v>893</v>
      </c>
      <c r="H197">
        <v>7144</v>
      </c>
      <c r="I197" t="s">
        <v>22</v>
      </c>
      <c r="J197" s="2">
        <v>45831</v>
      </c>
      <c r="K197" t="s">
        <v>31</v>
      </c>
    </row>
    <row r="198" spans="1:11" x14ac:dyDescent="0.25">
      <c r="A198" t="s">
        <v>445</v>
      </c>
      <c r="B198" t="s">
        <v>446</v>
      </c>
      <c r="C198" t="s">
        <v>13</v>
      </c>
      <c r="D198" t="s">
        <v>14</v>
      </c>
      <c r="E198" t="s">
        <v>99</v>
      </c>
      <c r="F198">
        <v>6</v>
      </c>
      <c r="G198">
        <v>594</v>
      </c>
      <c r="H198">
        <v>4265</v>
      </c>
      <c r="I198" t="s">
        <v>27</v>
      </c>
      <c r="J198" s="2">
        <v>45822</v>
      </c>
      <c r="K198" t="s">
        <v>65</v>
      </c>
    </row>
    <row r="199" spans="1:11" x14ac:dyDescent="0.25">
      <c r="A199" t="s">
        <v>447</v>
      </c>
      <c r="B199" t="s">
        <v>448</v>
      </c>
      <c r="C199" t="s">
        <v>13</v>
      </c>
      <c r="D199" t="s">
        <v>44</v>
      </c>
      <c r="E199" t="s">
        <v>170</v>
      </c>
      <c r="F199">
        <v>3</v>
      </c>
      <c r="G199">
        <v>138</v>
      </c>
      <c r="H199">
        <v>414</v>
      </c>
      <c r="I199" t="s">
        <v>16</v>
      </c>
      <c r="J199" s="2">
        <v>45820</v>
      </c>
      <c r="K199" t="s">
        <v>23</v>
      </c>
    </row>
    <row r="200" spans="1:11" x14ac:dyDescent="0.25">
      <c r="A200" t="s">
        <v>449</v>
      </c>
      <c r="B200" t="s">
        <v>450</v>
      </c>
      <c r="C200" t="s">
        <v>26</v>
      </c>
      <c r="D200" t="s">
        <v>44</v>
      </c>
      <c r="E200" t="s">
        <v>125</v>
      </c>
      <c r="F200">
        <v>9</v>
      </c>
      <c r="G200">
        <v>598</v>
      </c>
      <c r="H200">
        <v>5382</v>
      </c>
      <c r="I200" t="s">
        <v>451</v>
      </c>
      <c r="J200" s="2">
        <v>45830</v>
      </c>
    </row>
    <row r="201" spans="1:11" x14ac:dyDescent="0.25">
      <c r="A201" t="s">
        <v>452</v>
      </c>
      <c r="B201" t="s">
        <v>453</v>
      </c>
      <c r="C201" t="s">
        <v>26</v>
      </c>
      <c r="D201" t="s">
        <v>30</v>
      </c>
      <c r="E201" t="s">
        <v>143</v>
      </c>
      <c r="F201">
        <v>3</v>
      </c>
      <c r="G201">
        <v>162</v>
      </c>
      <c r="H201">
        <v>486</v>
      </c>
      <c r="I201" t="s">
        <v>27</v>
      </c>
      <c r="J201" t="s">
        <v>454</v>
      </c>
      <c r="K201" t="s">
        <v>35</v>
      </c>
    </row>
    <row r="202" spans="1:11" x14ac:dyDescent="0.25">
      <c r="A202" t="s">
        <v>455</v>
      </c>
      <c r="B202" t="s">
        <v>456</v>
      </c>
      <c r="C202" t="s">
        <v>13</v>
      </c>
      <c r="D202" t="s">
        <v>20</v>
      </c>
      <c r="E202" t="s">
        <v>21</v>
      </c>
      <c r="F202">
        <v>6</v>
      </c>
      <c r="G202">
        <v>818</v>
      </c>
      <c r="H202">
        <v>4908</v>
      </c>
      <c r="I202" t="s">
        <v>27</v>
      </c>
      <c r="J202" s="2">
        <v>45816</v>
      </c>
      <c r="K202" t="s">
        <v>23</v>
      </c>
    </row>
    <row r="203" spans="1:11" x14ac:dyDescent="0.25">
      <c r="A203" t="s">
        <v>457</v>
      </c>
      <c r="B203" t="s">
        <v>458</v>
      </c>
      <c r="C203" t="s">
        <v>26</v>
      </c>
      <c r="D203" t="s">
        <v>30</v>
      </c>
      <c r="E203" t="s">
        <v>143</v>
      </c>
      <c r="F203">
        <v>4</v>
      </c>
      <c r="G203">
        <v>273</v>
      </c>
      <c r="I203" t="s">
        <v>27</v>
      </c>
      <c r="J203" s="2">
        <v>45839</v>
      </c>
      <c r="K203" t="s">
        <v>79</v>
      </c>
    </row>
    <row r="204" spans="1:11" x14ac:dyDescent="0.25">
      <c r="A204" t="s">
        <v>459</v>
      </c>
      <c r="B204" t="s">
        <v>460</v>
      </c>
      <c r="C204" t="s">
        <v>13</v>
      </c>
      <c r="D204" t="s">
        <v>44</v>
      </c>
      <c r="E204" t="s">
        <v>170</v>
      </c>
      <c r="F204">
        <v>7</v>
      </c>
      <c r="G204">
        <v>168</v>
      </c>
      <c r="H204">
        <v>1176</v>
      </c>
      <c r="I204" t="s">
        <v>557</v>
      </c>
      <c r="J204" s="2">
        <v>45815</v>
      </c>
      <c r="K204" t="s">
        <v>17</v>
      </c>
    </row>
    <row r="205" spans="1:11" x14ac:dyDescent="0.25">
      <c r="A205" t="s">
        <v>461</v>
      </c>
      <c r="B205" t="s">
        <v>580</v>
      </c>
      <c r="C205" t="s">
        <v>26</v>
      </c>
      <c r="D205" t="s">
        <v>20</v>
      </c>
      <c r="E205" t="s">
        <v>112</v>
      </c>
      <c r="F205">
        <v>40</v>
      </c>
      <c r="G205">
        <v>405</v>
      </c>
      <c r="H205">
        <v>810</v>
      </c>
      <c r="I205" t="s">
        <v>557</v>
      </c>
      <c r="J205" s="2">
        <v>45830</v>
      </c>
      <c r="K205" t="s">
        <v>35</v>
      </c>
    </row>
    <row r="206" spans="1:11" x14ac:dyDescent="0.25">
      <c r="A206" t="s">
        <v>462</v>
      </c>
      <c r="B206" t="s">
        <v>463</v>
      </c>
      <c r="C206" t="s">
        <v>26</v>
      </c>
      <c r="D206" t="s">
        <v>30</v>
      </c>
      <c r="E206" t="s">
        <v>38</v>
      </c>
      <c r="F206">
        <v>7</v>
      </c>
      <c r="G206">
        <v>906</v>
      </c>
      <c r="H206">
        <v>6342</v>
      </c>
      <c r="I206" t="s">
        <v>27</v>
      </c>
      <c r="J206" s="2">
        <v>45830</v>
      </c>
      <c r="K206" t="s">
        <v>65</v>
      </c>
    </row>
    <row r="207" spans="1:11" x14ac:dyDescent="0.25">
      <c r="A207" t="s">
        <v>464</v>
      </c>
      <c r="B207" t="s">
        <v>465</v>
      </c>
      <c r="C207" t="s">
        <v>13</v>
      </c>
      <c r="D207" t="s">
        <v>20</v>
      </c>
      <c r="E207" t="s">
        <v>112</v>
      </c>
      <c r="F207">
        <v>7</v>
      </c>
      <c r="G207">
        <v>875</v>
      </c>
      <c r="H207">
        <v>6125</v>
      </c>
      <c r="I207" t="s">
        <v>557</v>
      </c>
      <c r="J207" s="2">
        <v>45835</v>
      </c>
      <c r="K207" t="s">
        <v>23</v>
      </c>
    </row>
    <row r="208" spans="1:11" x14ac:dyDescent="0.25">
      <c r="A208" t="s">
        <v>466</v>
      </c>
      <c r="B208" t="s">
        <v>467</v>
      </c>
      <c r="C208" t="s">
        <v>26</v>
      </c>
      <c r="D208" t="s">
        <v>14</v>
      </c>
      <c r="E208" t="s">
        <v>99</v>
      </c>
      <c r="F208">
        <v>8</v>
      </c>
      <c r="G208">
        <v>76</v>
      </c>
      <c r="H208">
        <v>608</v>
      </c>
      <c r="I208" t="s">
        <v>27</v>
      </c>
      <c r="J208" t="s">
        <v>468</v>
      </c>
      <c r="K208" t="s">
        <v>35</v>
      </c>
    </row>
    <row r="209" spans="1:11" x14ac:dyDescent="0.25">
      <c r="A209" t="s">
        <v>469</v>
      </c>
      <c r="B209" t="s">
        <v>470</v>
      </c>
      <c r="C209" t="s">
        <v>26</v>
      </c>
      <c r="D209" t="s">
        <v>20</v>
      </c>
      <c r="E209" t="s">
        <v>75</v>
      </c>
      <c r="F209" t="s">
        <v>571</v>
      </c>
      <c r="G209">
        <v>132</v>
      </c>
      <c r="H209">
        <v>396</v>
      </c>
      <c r="I209" t="s">
        <v>16</v>
      </c>
      <c r="J209" s="2">
        <v>45838</v>
      </c>
      <c r="K209" t="s">
        <v>79</v>
      </c>
    </row>
    <row r="210" spans="1:11" x14ac:dyDescent="0.25">
      <c r="A210" t="s">
        <v>471</v>
      </c>
      <c r="B210" t="s">
        <v>472</v>
      </c>
      <c r="C210" t="s">
        <v>13</v>
      </c>
      <c r="D210" t="s">
        <v>44</v>
      </c>
      <c r="E210" t="s">
        <v>56</v>
      </c>
      <c r="F210">
        <v>8</v>
      </c>
      <c r="G210">
        <v>539</v>
      </c>
      <c r="H210">
        <v>4312</v>
      </c>
      <c r="I210" t="s">
        <v>557</v>
      </c>
      <c r="J210" s="2">
        <v>45825</v>
      </c>
      <c r="K210" t="s">
        <v>35</v>
      </c>
    </row>
    <row r="211" spans="1:11" x14ac:dyDescent="0.25">
      <c r="A211" t="s">
        <v>473</v>
      </c>
      <c r="B211" t="s">
        <v>474</v>
      </c>
      <c r="C211" t="s">
        <v>13</v>
      </c>
      <c r="D211" t="s">
        <v>20</v>
      </c>
      <c r="E211" t="s">
        <v>112</v>
      </c>
      <c r="F211">
        <v>7</v>
      </c>
      <c r="G211">
        <v>327</v>
      </c>
      <c r="H211">
        <v>2289</v>
      </c>
      <c r="I211" t="s">
        <v>16</v>
      </c>
      <c r="J211" s="2">
        <v>45837</v>
      </c>
      <c r="K211" t="s">
        <v>17</v>
      </c>
    </row>
    <row r="212" spans="1:11" x14ac:dyDescent="0.25">
      <c r="A212" t="s">
        <v>475</v>
      </c>
      <c r="B212" t="s">
        <v>476</v>
      </c>
      <c r="C212" t="s">
        <v>13</v>
      </c>
      <c r="D212" t="s">
        <v>14</v>
      </c>
      <c r="E212" t="s">
        <v>99</v>
      </c>
      <c r="F212">
        <v>9</v>
      </c>
      <c r="G212">
        <v>222</v>
      </c>
      <c r="H212">
        <v>1998</v>
      </c>
      <c r="I212" t="s">
        <v>557</v>
      </c>
      <c r="J212" s="2">
        <v>45812</v>
      </c>
      <c r="K212" t="s">
        <v>65</v>
      </c>
    </row>
    <row r="213" spans="1:11" x14ac:dyDescent="0.25">
      <c r="A213" t="s">
        <v>477</v>
      </c>
      <c r="B213" t="s">
        <v>478</v>
      </c>
      <c r="C213" t="s">
        <v>581</v>
      </c>
      <c r="D213" t="s">
        <v>30</v>
      </c>
      <c r="E213" t="s">
        <v>62</v>
      </c>
      <c r="F213">
        <v>4</v>
      </c>
      <c r="G213">
        <v>289</v>
      </c>
      <c r="H213">
        <v>1156</v>
      </c>
      <c r="I213" t="s">
        <v>27</v>
      </c>
      <c r="J213" s="2">
        <v>45819</v>
      </c>
      <c r="K213" t="s">
        <v>17</v>
      </c>
    </row>
    <row r="214" spans="1:11" x14ac:dyDescent="0.25">
      <c r="A214" t="s">
        <v>479</v>
      </c>
      <c r="B214" t="s">
        <v>480</v>
      </c>
      <c r="C214" t="s">
        <v>26</v>
      </c>
      <c r="D214" t="s">
        <v>14</v>
      </c>
      <c r="E214" t="s">
        <v>109</v>
      </c>
      <c r="F214">
        <v>1</v>
      </c>
      <c r="G214">
        <v>624</v>
      </c>
      <c r="H214">
        <v>624</v>
      </c>
      <c r="I214" t="s">
        <v>451</v>
      </c>
      <c r="J214" s="2">
        <v>45820</v>
      </c>
      <c r="K214" t="s">
        <v>65</v>
      </c>
    </row>
    <row r="215" spans="1:11" x14ac:dyDescent="0.25">
      <c r="A215" t="s">
        <v>481</v>
      </c>
      <c r="B215" t="s">
        <v>482</v>
      </c>
      <c r="C215" t="s">
        <v>26</v>
      </c>
      <c r="D215" t="s">
        <v>30</v>
      </c>
      <c r="E215" t="s">
        <v>70</v>
      </c>
      <c r="F215">
        <v>7</v>
      </c>
      <c r="G215">
        <v>196</v>
      </c>
      <c r="H215">
        <v>1372</v>
      </c>
      <c r="I215" t="s">
        <v>16</v>
      </c>
      <c r="J215" s="2">
        <v>45839</v>
      </c>
      <c r="K215" t="s">
        <v>35</v>
      </c>
    </row>
    <row r="216" spans="1:11" x14ac:dyDescent="0.25">
      <c r="A216" t="s">
        <v>483</v>
      </c>
      <c r="B216" t="s">
        <v>484</v>
      </c>
      <c r="C216" t="s">
        <v>26</v>
      </c>
      <c r="D216" t="s">
        <v>30</v>
      </c>
      <c r="E216" t="s">
        <v>62</v>
      </c>
      <c r="F216">
        <v>10</v>
      </c>
      <c r="G216">
        <v>395</v>
      </c>
      <c r="H216">
        <v>3950</v>
      </c>
      <c r="I216" t="s">
        <v>557</v>
      </c>
      <c r="J216" s="2">
        <v>45815</v>
      </c>
      <c r="K216" t="s">
        <v>65</v>
      </c>
    </row>
    <row r="217" spans="1:11" x14ac:dyDescent="0.25">
      <c r="A217" t="s">
        <v>485</v>
      </c>
      <c r="B217" t="s">
        <v>486</v>
      </c>
      <c r="C217" t="s">
        <v>13</v>
      </c>
      <c r="D217" t="s">
        <v>44</v>
      </c>
      <c r="E217" t="s">
        <v>45</v>
      </c>
      <c r="F217">
        <v>10</v>
      </c>
      <c r="G217">
        <v>9500</v>
      </c>
      <c r="H217">
        <v>1900</v>
      </c>
      <c r="I217" t="s">
        <v>16</v>
      </c>
      <c r="J217" s="2">
        <v>45835</v>
      </c>
      <c r="K217" t="s">
        <v>31</v>
      </c>
    </row>
    <row r="218" spans="1:11" x14ac:dyDescent="0.25">
      <c r="A218" t="s">
        <v>487</v>
      </c>
      <c r="B218" t="s">
        <v>582</v>
      </c>
      <c r="C218" t="s">
        <v>13</v>
      </c>
      <c r="D218" t="s">
        <v>30</v>
      </c>
      <c r="E218" t="s">
        <v>143</v>
      </c>
      <c r="F218">
        <v>8</v>
      </c>
      <c r="G218">
        <v>319</v>
      </c>
      <c r="H218">
        <v>2552</v>
      </c>
      <c r="I218" t="s">
        <v>557</v>
      </c>
      <c r="J218" s="2">
        <v>45822</v>
      </c>
      <c r="K218" t="s">
        <v>65</v>
      </c>
    </row>
    <row r="219" spans="1:11" x14ac:dyDescent="0.25">
      <c r="A219" t="s">
        <v>488</v>
      </c>
      <c r="B219" t="s">
        <v>489</v>
      </c>
      <c r="C219" t="s">
        <v>26</v>
      </c>
      <c r="D219" t="s">
        <v>44</v>
      </c>
      <c r="E219" t="s">
        <v>125</v>
      </c>
      <c r="F219">
        <v>10</v>
      </c>
      <c r="G219">
        <v>298</v>
      </c>
      <c r="H219">
        <v>2980</v>
      </c>
      <c r="I219" t="s">
        <v>16</v>
      </c>
      <c r="J219" t="s">
        <v>490</v>
      </c>
      <c r="K219" t="s">
        <v>577</v>
      </c>
    </row>
    <row r="220" spans="1:11" x14ac:dyDescent="0.25">
      <c r="A220" t="s">
        <v>491</v>
      </c>
      <c r="B220" t="s">
        <v>492</v>
      </c>
      <c r="C220" t="s">
        <v>13</v>
      </c>
      <c r="D220" t="s">
        <v>30</v>
      </c>
      <c r="E220" t="s">
        <v>34</v>
      </c>
      <c r="F220">
        <v>1</v>
      </c>
      <c r="G220">
        <v>896</v>
      </c>
      <c r="H220">
        <v>896</v>
      </c>
      <c r="I220" t="s">
        <v>27</v>
      </c>
      <c r="J220" s="2">
        <v>45833</v>
      </c>
      <c r="K220" t="s">
        <v>31</v>
      </c>
    </row>
    <row r="221" spans="1:11" x14ac:dyDescent="0.25">
      <c r="A221" t="s">
        <v>493</v>
      </c>
      <c r="B221" t="s">
        <v>494</v>
      </c>
      <c r="C221" t="s">
        <v>13</v>
      </c>
      <c r="D221" t="s">
        <v>30</v>
      </c>
      <c r="E221" t="s">
        <v>62</v>
      </c>
      <c r="F221">
        <v>7</v>
      </c>
      <c r="G221">
        <v>247</v>
      </c>
      <c r="H221">
        <v>1729</v>
      </c>
      <c r="I221" t="s">
        <v>16</v>
      </c>
      <c r="J221" s="2">
        <v>45814</v>
      </c>
      <c r="K221" t="s">
        <v>79</v>
      </c>
    </row>
    <row r="222" spans="1:11" x14ac:dyDescent="0.25">
      <c r="A222" t="s">
        <v>495</v>
      </c>
      <c r="B222" t="s">
        <v>496</v>
      </c>
      <c r="C222" t="s">
        <v>13</v>
      </c>
      <c r="D222" t="s">
        <v>14</v>
      </c>
      <c r="E222" t="s">
        <v>99</v>
      </c>
      <c r="F222">
        <v>5</v>
      </c>
      <c r="G222" t="s">
        <v>497</v>
      </c>
      <c r="H222">
        <v>4390</v>
      </c>
      <c r="I222" t="s">
        <v>22</v>
      </c>
      <c r="J222" t="s">
        <v>498</v>
      </c>
      <c r="K222" t="s">
        <v>556</v>
      </c>
    </row>
    <row r="223" spans="1:11" x14ac:dyDescent="0.25">
      <c r="A223" t="s">
        <v>499</v>
      </c>
      <c r="B223" t="s">
        <v>500</v>
      </c>
      <c r="C223" t="s">
        <v>13</v>
      </c>
      <c r="D223" t="s">
        <v>14</v>
      </c>
      <c r="E223" t="s">
        <v>78</v>
      </c>
      <c r="F223">
        <v>5</v>
      </c>
      <c r="G223">
        <v>155</v>
      </c>
      <c r="H223">
        <v>775</v>
      </c>
      <c r="I223" t="s">
        <v>16</v>
      </c>
      <c r="J223" s="2">
        <v>45834</v>
      </c>
      <c r="K223" t="s">
        <v>65</v>
      </c>
    </row>
    <row r="224" spans="1:11" x14ac:dyDescent="0.25">
      <c r="A224" t="s">
        <v>501</v>
      </c>
      <c r="B224" t="s">
        <v>502</v>
      </c>
      <c r="C224" t="s">
        <v>13</v>
      </c>
      <c r="D224" t="s">
        <v>30</v>
      </c>
      <c r="E224" t="s">
        <v>62</v>
      </c>
      <c r="F224">
        <v>7</v>
      </c>
      <c r="G224">
        <v>273</v>
      </c>
      <c r="H224">
        <v>1911</v>
      </c>
      <c r="I224" t="s">
        <v>27</v>
      </c>
      <c r="J224" s="2">
        <v>45818</v>
      </c>
      <c r="K224" t="s">
        <v>17</v>
      </c>
    </row>
    <row r="225" spans="1:11" x14ac:dyDescent="0.25">
      <c r="A225" t="s">
        <v>503</v>
      </c>
      <c r="B225" t="s">
        <v>504</v>
      </c>
      <c r="C225" t="s">
        <v>13</v>
      </c>
      <c r="D225" t="s">
        <v>30</v>
      </c>
      <c r="E225" t="s">
        <v>143</v>
      </c>
      <c r="F225">
        <v>4</v>
      </c>
      <c r="G225">
        <v>637</v>
      </c>
      <c r="H225">
        <v>2548</v>
      </c>
      <c r="I225" t="s">
        <v>557</v>
      </c>
      <c r="J225" s="2">
        <v>45820</v>
      </c>
      <c r="K225" t="s">
        <v>31</v>
      </c>
    </row>
    <row r="226" spans="1:11" x14ac:dyDescent="0.25">
      <c r="A226" t="s">
        <v>505</v>
      </c>
      <c r="B226" t="s">
        <v>506</v>
      </c>
      <c r="C226" t="s">
        <v>13</v>
      </c>
      <c r="D226" t="s">
        <v>44</v>
      </c>
      <c r="E226" t="s">
        <v>45</v>
      </c>
      <c r="F226">
        <v>5</v>
      </c>
      <c r="G226">
        <v>546</v>
      </c>
      <c r="H226">
        <v>2730</v>
      </c>
      <c r="I226" t="s">
        <v>16</v>
      </c>
      <c r="J226" s="2">
        <v>45811</v>
      </c>
      <c r="K226" t="s">
        <v>35</v>
      </c>
    </row>
    <row r="227" spans="1:11" x14ac:dyDescent="0.25">
      <c r="A227" t="s">
        <v>507</v>
      </c>
      <c r="B227" t="s">
        <v>508</v>
      </c>
      <c r="C227" t="s">
        <v>13</v>
      </c>
      <c r="D227" t="s">
        <v>30</v>
      </c>
      <c r="E227" t="s">
        <v>70</v>
      </c>
      <c r="F227">
        <v>120</v>
      </c>
      <c r="G227">
        <v>176</v>
      </c>
      <c r="H227">
        <v>1056</v>
      </c>
      <c r="I227" t="s">
        <v>22</v>
      </c>
      <c r="J227" s="2">
        <v>45831</v>
      </c>
      <c r="K227" t="s">
        <v>35</v>
      </c>
    </row>
    <row r="228" spans="1:11" x14ac:dyDescent="0.25">
      <c r="A228" t="s">
        <v>509</v>
      </c>
      <c r="B228" t="s">
        <v>510</v>
      </c>
      <c r="C228" t="s">
        <v>13</v>
      </c>
      <c r="D228" t="s">
        <v>44</v>
      </c>
      <c r="E228" t="s">
        <v>175</v>
      </c>
      <c r="F228">
        <v>10</v>
      </c>
      <c r="G228" t="s">
        <v>511</v>
      </c>
      <c r="H228">
        <v>6970</v>
      </c>
      <c r="I228" t="s">
        <v>557</v>
      </c>
      <c r="J228" s="2">
        <v>45829</v>
      </c>
      <c r="K228" t="s">
        <v>35</v>
      </c>
    </row>
    <row r="229" spans="1:11" x14ac:dyDescent="0.25">
      <c r="A229" t="s">
        <v>512</v>
      </c>
      <c r="B229" t="s">
        <v>513</v>
      </c>
      <c r="C229" t="s">
        <v>13</v>
      </c>
      <c r="D229" t="s">
        <v>20</v>
      </c>
      <c r="E229" t="s">
        <v>21</v>
      </c>
      <c r="F229">
        <v>8</v>
      </c>
      <c r="G229">
        <v>86</v>
      </c>
      <c r="H229">
        <v>688</v>
      </c>
      <c r="I229" t="s">
        <v>22</v>
      </c>
      <c r="J229" s="2">
        <v>45825</v>
      </c>
      <c r="K229" t="s">
        <v>65</v>
      </c>
    </row>
    <row r="230" spans="1:11" x14ac:dyDescent="0.25">
      <c r="A230" t="s">
        <v>514</v>
      </c>
      <c r="B230" t="s">
        <v>515</v>
      </c>
      <c r="C230" t="s">
        <v>13</v>
      </c>
      <c r="D230" t="s">
        <v>30</v>
      </c>
      <c r="E230" t="s">
        <v>143</v>
      </c>
      <c r="F230">
        <v>3</v>
      </c>
      <c r="G230">
        <v>917</v>
      </c>
      <c r="H230">
        <v>2751</v>
      </c>
      <c r="I230" t="s">
        <v>557</v>
      </c>
      <c r="J230" s="2">
        <v>45831</v>
      </c>
      <c r="K230" t="s">
        <v>23</v>
      </c>
    </row>
    <row r="231" spans="1:11" x14ac:dyDescent="0.25">
      <c r="A231" t="s">
        <v>516</v>
      </c>
      <c r="B231" t="s">
        <v>583</v>
      </c>
      <c r="C231" t="s">
        <v>26</v>
      </c>
      <c r="D231" t="s">
        <v>44</v>
      </c>
      <c r="E231" t="s">
        <v>56</v>
      </c>
      <c r="F231">
        <v>9</v>
      </c>
      <c r="G231">
        <v>715</v>
      </c>
      <c r="H231">
        <v>6435</v>
      </c>
      <c r="I231" t="s">
        <v>557</v>
      </c>
      <c r="J231" s="2">
        <v>45815</v>
      </c>
      <c r="K231" t="s">
        <v>23</v>
      </c>
    </row>
    <row r="232" spans="1:11" x14ac:dyDescent="0.25">
      <c r="A232" t="s">
        <v>517</v>
      </c>
      <c r="B232" t="s">
        <v>518</v>
      </c>
      <c r="C232" t="s">
        <v>13</v>
      </c>
      <c r="D232" t="s">
        <v>20</v>
      </c>
      <c r="E232" t="s">
        <v>21</v>
      </c>
      <c r="F232">
        <v>4</v>
      </c>
      <c r="G232">
        <v>192</v>
      </c>
      <c r="H232">
        <v>768</v>
      </c>
      <c r="I232" t="s">
        <v>557</v>
      </c>
      <c r="J232" t="s">
        <v>519</v>
      </c>
      <c r="K232" t="s">
        <v>35</v>
      </c>
    </row>
    <row r="233" spans="1:11" x14ac:dyDescent="0.25">
      <c r="A233" t="s">
        <v>520</v>
      </c>
      <c r="B233" t="s">
        <v>521</v>
      </c>
      <c r="C233" t="s">
        <v>26</v>
      </c>
      <c r="D233" t="s">
        <v>44</v>
      </c>
      <c r="E233" t="s">
        <v>56</v>
      </c>
      <c r="F233">
        <v>1</v>
      </c>
      <c r="G233">
        <v>113</v>
      </c>
      <c r="H233">
        <v>113</v>
      </c>
      <c r="I233" t="s">
        <v>22</v>
      </c>
      <c r="J233" s="2">
        <v>45819</v>
      </c>
      <c r="K233" t="s">
        <v>65</v>
      </c>
    </row>
    <row r="234" spans="1:11" x14ac:dyDescent="0.25">
      <c r="A234" t="s">
        <v>522</v>
      </c>
      <c r="B234" t="s">
        <v>523</v>
      </c>
      <c r="C234" t="s">
        <v>13</v>
      </c>
      <c r="D234" t="s">
        <v>14</v>
      </c>
      <c r="E234" t="s">
        <v>15</v>
      </c>
      <c r="F234">
        <v>5</v>
      </c>
      <c r="G234">
        <v>924</v>
      </c>
      <c r="H234">
        <v>4620</v>
      </c>
      <c r="I234" t="s">
        <v>16</v>
      </c>
      <c r="J234" s="2">
        <v>45813</v>
      </c>
      <c r="K234" t="s">
        <v>35</v>
      </c>
    </row>
    <row r="235" spans="1:11" x14ac:dyDescent="0.25">
      <c r="A235" t="s">
        <v>524</v>
      </c>
      <c r="B235" t="s">
        <v>525</v>
      </c>
      <c r="C235" t="s">
        <v>13</v>
      </c>
      <c r="D235" t="s">
        <v>44</v>
      </c>
      <c r="E235" t="s">
        <v>45</v>
      </c>
      <c r="F235">
        <v>1</v>
      </c>
      <c r="G235">
        <v>968</v>
      </c>
      <c r="H235">
        <v>968</v>
      </c>
      <c r="I235" t="s">
        <v>22</v>
      </c>
      <c r="J235" s="2">
        <v>45835</v>
      </c>
      <c r="K235" t="s">
        <v>79</v>
      </c>
    </row>
    <row r="236" spans="1:11" x14ac:dyDescent="0.25">
      <c r="A236" t="s">
        <v>526</v>
      </c>
      <c r="B236" t="s">
        <v>527</v>
      </c>
      <c r="C236" t="s">
        <v>26</v>
      </c>
      <c r="D236" t="s">
        <v>14</v>
      </c>
      <c r="E236" t="s">
        <v>99</v>
      </c>
      <c r="F236">
        <v>6</v>
      </c>
      <c r="G236">
        <v>681</v>
      </c>
      <c r="H236">
        <v>4086</v>
      </c>
      <c r="I236" t="s">
        <v>557</v>
      </c>
      <c r="J236" s="2">
        <v>45826</v>
      </c>
      <c r="K236" t="s">
        <v>79</v>
      </c>
    </row>
    <row r="237" spans="1:11" x14ac:dyDescent="0.25">
      <c r="A237" t="s">
        <v>528</v>
      </c>
      <c r="B237" t="s">
        <v>529</v>
      </c>
      <c r="C237" t="s">
        <v>26</v>
      </c>
      <c r="D237" t="s">
        <v>14</v>
      </c>
      <c r="E237" t="s">
        <v>109</v>
      </c>
      <c r="F237">
        <v>10</v>
      </c>
      <c r="G237">
        <v>460</v>
      </c>
      <c r="H237">
        <v>4600</v>
      </c>
      <c r="I237" t="s">
        <v>16</v>
      </c>
      <c r="J237" s="2">
        <v>45821</v>
      </c>
      <c r="K237" t="s">
        <v>35</v>
      </c>
    </row>
    <row r="238" spans="1:11" x14ac:dyDescent="0.25">
      <c r="A238" t="s">
        <v>530</v>
      </c>
      <c r="B238" t="s">
        <v>531</v>
      </c>
      <c r="C238" t="s">
        <v>13</v>
      </c>
      <c r="D238" t="s">
        <v>14</v>
      </c>
      <c r="E238" t="s">
        <v>48</v>
      </c>
      <c r="F238">
        <v>1</v>
      </c>
      <c r="G238">
        <v>644</v>
      </c>
      <c r="H238">
        <v>644</v>
      </c>
      <c r="I238" t="s">
        <v>27</v>
      </c>
      <c r="J238" s="2">
        <v>45815</v>
      </c>
      <c r="K238" t="s">
        <v>17</v>
      </c>
    </row>
    <row r="239" spans="1:11" x14ac:dyDescent="0.25">
      <c r="A239" t="s">
        <v>532</v>
      </c>
      <c r="B239" t="s">
        <v>533</v>
      </c>
      <c r="C239" t="s">
        <v>13</v>
      </c>
      <c r="D239" t="s">
        <v>20</v>
      </c>
      <c r="E239" t="s">
        <v>88</v>
      </c>
      <c r="F239">
        <v>2</v>
      </c>
      <c r="G239">
        <v>219</v>
      </c>
      <c r="H239">
        <v>438</v>
      </c>
      <c r="I239" t="s">
        <v>22</v>
      </c>
      <c r="J239" s="2">
        <v>45826</v>
      </c>
      <c r="K239" t="s">
        <v>35</v>
      </c>
    </row>
    <row r="240" spans="1:11" x14ac:dyDescent="0.25">
      <c r="A240" t="s">
        <v>534</v>
      </c>
      <c r="B240" t="s">
        <v>535</v>
      </c>
      <c r="C240" t="s">
        <v>26</v>
      </c>
      <c r="D240" t="s">
        <v>20</v>
      </c>
      <c r="E240" t="s">
        <v>75</v>
      </c>
      <c r="F240">
        <v>6</v>
      </c>
      <c r="G240">
        <v>894</v>
      </c>
      <c r="H240">
        <v>5364</v>
      </c>
      <c r="I240" t="s">
        <v>27</v>
      </c>
      <c r="J240" s="2">
        <v>45835</v>
      </c>
      <c r="K240" t="s">
        <v>17</v>
      </c>
    </row>
    <row r="241" spans="1:11" x14ac:dyDescent="0.25">
      <c r="A241" t="s">
        <v>536</v>
      </c>
      <c r="B241" t="s">
        <v>537</v>
      </c>
      <c r="C241" t="s">
        <v>26</v>
      </c>
      <c r="D241" t="s">
        <v>20</v>
      </c>
      <c r="E241" t="s">
        <v>75</v>
      </c>
      <c r="F241">
        <v>7</v>
      </c>
      <c r="G241">
        <v>437</v>
      </c>
      <c r="H241">
        <v>3059</v>
      </c>
      <c r="I241" t="s">
        <v>27</v>
      </c>
      <c r="J241" s="2">
        <v>45830</v>
      </c>
      <c r="K241" t="s">
        <v>35</v>
      </c>
    </row>
    <row r="242" spans="1:11" x14ac:dyDescent="0.25">
      <c r="A242" t="s">
        <v>538</v>
      </c>
      <c r="B242" t="s">
        <v>539</v>
      </c>
      <c r="C242" t="s">
        <v>26</v>
      </c>
      <c r="D242" t="s">
        <v>44</v>
      </c>
      <c r="E242" t="s">
        <v>45</v>
      </c>
      <c r="F242">
        <v>7</v>
      </c>
      <c r="G242">
        <v>431</v>
      </c>
      <c r="H242">
        <v>3017</v>
      </c>
      <c r="I242" t="s">
        <v>22</v>
      </c>
      <c r="J242" s="2">
        <v>45825</v>
      </c>
      <c r="K242" t="s">
        <v>65</v>
      </c>
    </row>
    <row r="243" spans="1:11" x14ac:dyDescent="0.25">
      <c r="A243" t="s">
        <v>540</v>
      </c>
      <c r="B243" t="s">
        <v>541</v>
      </c>
      <c r="C243" t="s">
        <v>26</v>
      </c>
      <c r="D243" t="s">
        <v>44</v>
      </c>
      <c r="E243" t="s">
        <v>170</v>
      </c>
      <c r="F243">
        <v>6</v>
      </c>
      <c r="G243">
        <v>352</v>
      </c>
      <c r="H243">
        <v>2112</v>
      </c>
      <c r="I243" t="s">
        <v>557</v>
      </c>
      <c r="J243" s="2">
        <v>45833</v>
      </c>
      <c r="K243" t="s">
        <v>79</v>
      </c>
    </row>
    <row r="244" spans="1:11" x14ac:dyDescent="0.25">
      <c r="A244" t="s">
        <v>542</v>
      </c>
      <c r="C244" t="s">
        <v>26</v>
      </c>
      <c r="D244" t="s">
        <v>14</v>
      </c>
      <c r="E244" t="s">
        <v>78</v>
      </c>
      <c r="F244">
        <v>1</v>
      </c>
      <c r="H244">
        <v>623</v>
      </c>
      <c r="I244" t="s">
        <v>557</v>
      </c>
      <c r="J244" s="2">
        <v>45831</v>
      </c>
      <c r="K244" t="s">
        <v>65</v>
      </c>
    </row>
    <row r="245" spans="1:11" x14ac:dyDescent="0.25">
      <c r="A245" t="s">
        <v>543</v>
      </c>
      <c r="B245" t="s">
        <v>544</v>
      </c>
      <c r="C245" t="s">
        <v>26</v>
      </c>
      <c r="D245" t="s">
        <v>30</v>
      </c>
      <c r="E245" t="s">
        <v>143</v>
      </c>
      <c r="F245">
        <v>3</v>
      </c>
      <c r="G245">
        <v>695</v>
      </c>
      <c r="H245">
        <v>2085</v>
      </c>
      <c r="I245" t="s">
        <v>557</v>
      </c>
      <c r="J245" s="2">
        <v>45836</v>
      </c>
      <c r="K245" t="s">
        <v>65</v>
      </c>
    </row>
    <row r="246" spans="1:11" x14ac:dyDescent="0.25">
      <c r="A246" t="s">
        <v>545</v>
      </c>
      <c r="B246" t="s">
        <v>546</v>
      </c>
      <c r="C246" t="s">
        <v>13</v>
      </c>
      <c r="D246" t="s">
        <v>14</v>
      </c>
      <c r="E246" t="s">
        <v>48</v>
      </c>
      <c r="F246">
        <v>5</v>
      </c>
      <c r="G246">
        <v>917</v>
      </c>
      <c r="H246">
        <v>4585</v>
      </c>
      <c r="I246" t="s">
        <v>16</v>
      </c>
      <c r="J246" s="2">
        <v>45828</v>
      </c>
      <c r="K246" t="s">
        <v>17</v>
      </c>
    </row>
    <row r="247" spans="1:11" x14ac:dyDescent="0.25">
      <c r="A247" t="s">
        <v>86</v>
      </c>
      <c r="B247" t="s">
        <v>584</v>
      </c>
      <c r="C247" t="s">
        <v>26</v>
      </c>
      <c r="D247" t="s">
        <v>30</v>
      </c>
      <c r="E247" t="s">
        <v>70</v>
      </c>
      <c r="F247">
        <v>3</v>
      </c>
      <c r="G247">
        <v>263</v>
      </c>
      <c r="H247">
        <v>789</v>
      </c>
      <c r="I247" t="s">
        <v>557</v>
      </c>
      <c r="J247" s="2">
        <v>45840</v>
      </c>
      <c r="K247" t="s">
        <v>79</v>
      </c>
    </row>
    <row r="248" spans="1:11" x14ac:dyDescent="0.25">
      <c r="A248" t="s">
        <v>39</v>
      </c>
      <c r="B248" t="s">
        <v>40</v>
      </c>
      <c r="C248" t="s">
        <v>13</v>
      </c>
      <c r="D248" t="s">
        <v>20</v>
      </c>
      <c r="E248" t="s">
        <v>41</v>
      </c>
      <c r="F248">
        <v>10</v>
      </c>
      <c r="G248">
        <v>763</v>
      </c>
      <c r="H248">
        <v>7630</v>
      </c>
      <c r="I248" t="s">
        <v>27</v>
      </c>
      <c r="J248" s="2">
        <v>45816</v>
      </c>
      <c r="K248" t="s">
        <v>31</v>
      </c>
    </row>
    <row r="249" spans="1:11" x14ac:dyDescent="0.25">
      <c r="A249" t="s">
        <v>360</v>
      </c>
      <c r="B249" t="s">
        <v>361</v>
      </c>
      <c r="C249" t="s">
        <v>13</v>
      </c>
      <c r="D249" t="s">
        <v>14</v>
      </c>
      <c r="E249" t="s">
        <v>48</v>
      </c>
      <c r="F249">
        <v>10</v>
      </c>
      <c r="G249">
        <v>128</v>
      </c>
      <c r="H249">
        <v>1280</v>
      </c>
      <c r="I249" t="s">
        <v>557</v>
      </c>
      <c r="J249" s="2">
        <v>45819</v>
      </c>
      <c r="K249" t="s">
        <v>23</v>
      </c>
    </row>
    <row r="250" spans="1:11" x14ac:dyDescent="0.25">
      <c r="A250" t="s">
        <v>479</v>
      </c>
      <c r="B250" t="s">
        <v>585</v>
      </c>
      <c r="C250" t="s">
        <v>26</v>
      </c>
      <c r="D250" t="s">
        <v>14</v>
      </c>
      <c r="E250" t="s">
        <v>109</v>
      </c>
      <c r="F250">
        <v>1</v>
      </c>
      <c r="G250" t="s">
        <v>586</v>
      </c>
      <c r="H250">
        <v>624</v>
      </c>
      <c r="I250" t="s">
        <v>557</v>
      </c>
      <c r="J250" s="2">
        <v>45820</v>
      </c>
      <c r="K250" t="s">
        <v>65</v>
      </c>
    </row>
    <row r="251" spans="1:11" x14ac:dyDescent="0.25">
      <c r="A251" t="s">
        <v>452</v>
      </c>
      <c r="B251" t="s">
        <v>453</v>
      </c>
      <c r="C251" t="s">
        <v>26</v>
      </c>
      <c r="D251" t="s">
        <v>30</v>
      </c>
      <c r="E251" t="s">
        <v>143</v>
      </c>
      <c r="F251">
        <v>3</v>
      </c>
      <c r="G251">
        <v>162</v>
      </c>
      <c r="H251">
        <v>486</v>
      </c>
      <c r="I251" t="s">
        <v>27</v>
      </c>
      <c r="J251" s="2">
        <v>45836</v>
      </c>
      <c r="K251" t="s">
        <v>35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D7B6-07CC-4349-8D9A-F3642B26B2B9}">
  <dimension ref="A2:B12"/>
  <sheetViews>
    <sheetView workbookViewId="0">
      <selection activeCell="C15" sqref="C15"/>
    </sheetView>
  </sheetViews>
  <sheetFormatPr defaultRowHeight="15" x14ac:dyDescent="0.25"/>
  <cols>
    <col min="1" max="1" width="13.28515625" bestFit="1" customWidth="1"/>
    <col min="2" max="2" width="20.42578125" bestFit="1" customWidth="1"/>
  </cols>
  <sheetData>
    <row r="2" spans="1:2" x14ac:dyDescent="0.25">
      <c r="A2" s="15"/>
      <c r="B2" s="15"/>
    </row>
    <row r="3" spans="1:2" x14ac:dyDescent="0.25">
      <c r="A3" s="14" t="s">
        <v>588</v>
      </c>
      <c r="B3" s="15" t="s">
        <v>590</v>
      </c>
    </row>
    <row r="4" spans="1:2" x14ac:dyDescent="0.25">
      <c r="A4" s="16" t="s">
        <v>20</v>
      </c>
      <c r="B4" s="15">
        <v>194858</v>
      </c>
    </row>
    <row r="5" spans="1:2" x14ac:dyDescent="0.25">
      <c r="A5" s="16" t="s">
        <v>30</v>
      </c>
      <c r="B5" s="15">
        <v>208411</v>
      </c>
    </row>
    <row r="6" spans="1:2" x14ac:dyDescent="0.25">
      <c r="A6" s="16" t="s">
        <v>44</v>
      </c>
      <c r="B6" s="15">
        <v>167802</v>
      </c>
    </row>
    <row r="7" spans="1:2" x14ac:dyDescent="0.25">
      <c r="A7" s="16" t="s">
        <v>14</v>
      </c>
      <c r="B7" s="15">
        <v>176459</v>
      </c>
    </row>
    <row r="8" spans="1:2" x14ac:dyDescent="0.25">
      <c r="A8" s="16" t="s">
        <v>589</v>
      </c>
      <c r="B8" s="15">
        <v>747530</v>
      </c>
    </row>
    <row r="9" spans="1:2" x14ac:dyDescent="0.25">
      <c r="A9" s="15"/>
      <c r="B9" s="15"/>
    </row>
    <row r="10" spans="1:2" x14ac:dyDescent="0.25">
      <c r="A10" s="15"/>
      <c r="B10" s="15"/>
    </row>
    <row r="11" spans="1:2" x14ac:dyDescent="0.25">
      <c r="A11" s="15"/>
      <c r="B11" s="15">
        <f>GETPIVOTDATA("Total_Amount",$A$3)</f>
        <v>747530</v>
      </c>
    </row>
    <row r="12" spans="1:2" x14ac:dyDescent="0.25">
      <c r="A12" s="15"/>
      <c r="B12"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D6AD1-C1C6-427A-B411-5965DBB7FF35}">
  <dimension ref="A1:K246"/>
  <sheetViews>
    <sheetView workbookViewId="0"/>
  </sheetViews>
  <sheetFormatPr defaultRowHeight="15" x14ac:dyDescent="0.25"/>
  <cols>
    <col min="1" max="1" width="12.42578125" customWidth="1"/>
    <col min="2" max="2" width="25.42578125" bestFit="1" customWidth="1"/>
    <col min="3" max="3" width="9.85546875" customWidth="1"/>
    <col min="4" max="4" width="18.85546875" customWidth="1"/>
    <col min="5" max="5" width="16.28515625" customWidth="1"/>
    <col min="6" max="6" width="10.85546875" customWidth="1"/>
    <col min="7" max="7" width="12.42578125" customWidth="1"/>
    <col min="8" max="8" width="15.7109375" customWidth="1"/>
    <col min="9" max="9" width="19.140625" customWidth="1"/>
    <col min="10" max="10" width="12.5703125" style="3" bestFit="1" customWidth="1"/>
    <col min="11" max="11" width="13.140625" bestFit="1" customWidth="1"/>
  </cols>
  <sheetData>
    <row r="1" spans="1:11" x14ac:dyDescent="0.25">
      <c r="A1" s="4" t="s">
        <v>0</v>
      </c>
      <c r="B1" s="4" t="s">
        <v>1</v>
      </c>
      <c r="C1" s="4" t="s">
        <v>2</v>
      </c>
      <c r="D1" s="4" t="s">
        <v>3</v>
      </c>
      <c r="E1" s="4" t="s">
        <v>4</v>
      </c>
      <c r="F1" s="4" t="s">
        <v>5</v>
      </c>
      <c r="G1" s="4" t="s">
        <v>6</v>
      </c>
      <c r="H1" s="4" t="s">
        <v>7</v>
      </c>
      <c r="I1" s="4" t="s">
        <v>8</v>
      </c>
      <c r="J1" s="5" t="s">
        <v>9</v>
      </c>
      <c r="K1" s="4" t="s">
        <v>10</v>
      </c>
    </row>
    <row r="2" spans="1:11" x14ac:dyDescent="0.25">
      <c r="A2" t="s">
        <v>11</v>
      </c>
      <c r="B2" t="s">
        <v>12</v>
      </c>
      <c r="C2" t="s">
        <v>13</v>
      </c>
      <c r="D2" t="s">
        <v>14</v>
      </c>
      <c r="E2" t="s">
        <v>15</v>
      </c>
      <c r="F2">
        <v>2</v>
      </c>
      <c r="G2">
        <v>893</v>
      </c>
      <c r="H2">
        <v>1786</v>
      </c>
      <c r="I2" t="s">
        <v>16</v>
      </c>
      <c r="J2" s="3">
        <v>45838</v>
      </c>
      <c r="K2" t="s">
        <v>17</v>
      </c>
    </row>
    <row r="3" spans="1:11" x14ac:dyDescent="0.25">
      <c r="A3" t="s">
        <v>18</v>
      </c>
      <c r="B3" t="s">
        <v>19</v>
      </c>
      <c r="C3" t="s">
        <v>13</v>
      </c>
      <c r="D3" t="s">
        <v>20</v>
      </c>
      <c r="E3" t="s">
        <v>21</v>
      </c>
      <c r="F3">
        <v>5</v>
      </c>
      <c r="G3">
        <v>983</v>
      </c>
      <c r="H3">
        <v>4915</v>
      </c>
      <c r="I3" t="s">
        <v>22</v>
      </c>
      <c r="J3" s="3">
        <v>45821</v>
      </c>
      <c r="K3" t="s">
        <v>23</v>
      </c>
    </row>
    <row r="4" spans="1:11" x14ac:dyDescent="0.25">
      <c r="A4" t="s">
        <v>24</v>
      </c>
      <c r="B4" t="s">
        <v>25</v>
      </c>
      <c r="C4" t="s">
        <v>26</v>
      </c>
      <c r="D4" t="s">
        <v>14</v>
      </c>
      <c r="E4" t="s">
        <v>15</v>
      </c>
      <c r="F4">
        <v>10</v>
      </c>
      <c r="G4">
        <f>H4/F4</f>
        <v>290</v>
      </c>
      <c r="H4">
        <v>2900</v>
      </c>
      <c r="I4" t="s">
        <v>594</v>
      </c>
      <c r="J4" s="3">
        <v>45825</v>
      </c>
      <c r="K4" t="s">
        <v>35</v>
      </c>
    </row>
    <row r="5" spans="1:11" x14ac:dyDescent="0.25">
      <c r="A5" t="s">
        <v>28</v>
      </c>
      <c r="B5" t="s">
        <v>29</v>
      </c>
      <c r="C5" t="s">
        <v>13</v>
      </c>
      <c r="D5" t="s">
        <v>30</v>
      </c>
      <c r="E5" t="s">
        <v>587</v>
      </c>
      <c r="F5">
        <v>7</v>
      </c>
      <c r="G5">
        <v>407</v>
      </c>
      <c r="H5">
        <v>2849</v>
      </c>
      <c r="I5" t="s">
        <v>594</v>
      </c>
      <c r="J5" s="3">
        <v>45836</v>
      </c>
      <c r="K5" t="s">
        <v>31</v>
      </c>
    </row>
    <row r="6" spans="1:11" x14ac:dyDescent="0.25">
      <c r="A6" t="s">
        <v>32</v>
      </c>
      <c r="B6" t="s">
        <v>33</v>
      </c>
      <c r="C6" t="s">
        <v>13</v>
      </c>
      <c r="D6" t="s">
        <v>30</v>
      </c>
      <c r="E6" t="s">
        <v>34</v>
      </c>
      <c r="F6">
        <v>6</v>
      </c>
      <c r="G6">
        <v>160</v>
      </c>
      <c r="H6">
        <v>960</v>
      </c>
      <c r="I6" t="s">
        <v>16</v>
      </c>
      <c r="J6" s="3">
        <v>45997</v>
      </c>
      <c r="K6" t="s">
        <v>35</v>
      </c>
    </row>
    <row r="7" spans="1:11" x14ac:dyDescent="0.25">
      <c r="A7" t="s">
        <v>36</v>
      </c>
      <c r="B7" t="s">
        <v>37</v>
      </c>
      <c r="C7" t="s">
        <v>26</v>
      </c>
      <c r="D7" t="s">
        <v>30</v>
      </c>
      <c r="E7" t="s">
        <v>38</v>
      </c>
      <c r="F7">
        <v>1</v>
      </c>
      <c r="G7">
        <v>402</v>
      </c>
      <c r="H7">
        <v>402</v>
      </c>
      <c r="I7" t="s">
        <v>594</v>
      </c>
      <c r="J7" s="3">
        <v>45828</v>
      </c>
      <c r="K7" t="s">
        <v>17</v>
      </c>
    </row>
    <row r="8" spans="1:11" x14ac:dyDescent="0.25">
      <c r="A8" t="s">
        <v>39</v>
      </c>
      <c r="B8" t="s">
        <v>40</v>
      </c>
      <c r="C8" t="s">
        <v>13</v>
      </c>
      <c r="D8" t="s">
        <v>20</v>
      </c>
      <c r="E8" t="s">
        <v>41</v>
      </c>
      <c r="F8">
        <v>10</v>
      </c>
      <c r="G8">
        <v>763</v>
      </c>
      <c r="H8">
        <v>7630</v>
      </c>
      <c r="I8" t="s">
        <v>594</v>
      </c>
      <c r="J8" s="3">
        <v>45875</v>
      </c>
      <c r="K8" t="s">
        <v>31</v>
      </c>
    </row>
    <row r="9" spans="1:11" x14ac:dyDescent="0.25">
      <c r="A9" t="s">
        <v>42</v>
      </c>
      <c r="B9" t="s">
        <v>43</v>
      </c>
      <c r="C9" t="s">
        <v>13</v>
      </c>
      <c r="D9" t="s">
        <v>44</v>
      </c>
      <c r="E9" t="s">
        <v>45</v>
      </c>
      <c r="F9">
        <v>3</v>
      </c>
      <c r="G9">
        <v>392</v>
      </c>
      <c r="H9">
        <v>1176</v>
      </c>
      <c r="I9" t="s">
        <v>22</v>
      </c>
      <c r="J9" s="3">
        <v>45822</v>
      </c>
      <c r="K9" t="s">
        <v>31</v>
      </c>
    </row>
    <row r="10" spans="1:11" x14ac:dyDescent="0.25">
      <c r="A10" t="s">
        <v>46</v>
      </c>
      <c r="B10" t="s">
        <v>47</v>
      </c>
      <c r="C10" t="s">
        <v>13</v>
      </c>
      <c r="D10" t="s">
        <v>14</v>
      </c>
      <c r="E10" t="s">
        <v>48</v>
      </c>
      <c r="F10">
        <v>7</v>
      </c>
      <c r="G10">
        <v>944</v>
      </c>
      <c r="H10">
        <v>6608</v>
      </c>
      <c r="I10" t="s">
        <v>557</v>
      </c>
      <c r="J10" s="3">
        <v>45834</v>
      </c>
      <c r="K10" t="s">
        <v>17</v>
      </c>
    </row>
    <row r="11" spans="1:11" x14ac:dyDescent="0.25">
      <c r="A11" t="s">
        <v>49</v>
      </c>
      <c r="B11" t="s">
        <v>50</v>
      </c>
      <c r="C11" t="s">
        <v>13</v>
      </c>
      <c r="D11" t="s">
        <v>20</v>
      </c>
      <c r="E11" t="s">
        <v>21</v>
      </c>
      <c r="F11">
        <v>5</v>
      </c>
      <c r="G11">
        <v>593</v>
      </c>
      <c r="H11">
        <v>2965</v>
      </c>
      <c r="I11" t="s">
        <v>594</v>
      </c>
      <c r="J11" s="3">
        <v>45830</v>
      </c>
      <c r="K11" t="s">
        <v>35</v>
      </c>
    </row>
    <row r="12" spans="1:11" x14ac:dyDescent="0.25">
      <c r="A12" t="s">
        <v>52</v>
      </c>
      <c r="B12" t="s">
        <v>53</v>
      </c>
      <c r="C12" t="s">
        <v>26</v>
      </c>
      <c r="D12" t="s">
        <v>30</v>
      </c>
      <c r="E12" t="s">
        <v>38</v>
      </c>
      <c r="F12">
        <v>5</v>
      </c>
      <c r="G12">
        <v>825</v>
      </c>
      <c r="H12">
        <v>4125</v>
      </c>
      <c r="I12" t="s">
        <v>557</v>
      </c>
      <c r="J12" s="3">
        <v>45838</v>
      </c>
      <c r="K12" t="s">
        <v>23</v>
      </c>
    </row>
    <row r="13" spans="1:11" x14ac:dyDescent="0.25">
      <c r="A13" t="s">
        <v>54</v>
      </c>
      <c r="B13" t="s">
        <v>55</v>
      </c>
      <c r="C13" t="s">
        <v>26</v>
      </c>
      <c r="D13" t="s">
        <v>44</v>
      </c>
      <c r="E13" t="s">
        <v>56</v>
      </c>
      <c r="F13">
        <v>3</v>
      </c>
      <c r="G13">
        <f>H13/F13</f>
        <v>122</v>
      </c>
      <c r="H13">
        <v>366</v>
      </c>
      <c r="I13" t="s">
        <v>22</v>
      </c>
      <c r="J13" s="3">
        <v>45997</v>
      </c>
      <c r="K13" t="s">
        <v>23</v>
      </c>
    </row>
    <row r="14" spans="1:11" x14ac:dyDescent="0.25">
      <c r="A14" t="s">
        <v>57</v>
      </c>
      <c r="B14" t="s">
        <v>58</v>
      </c>
      <c r="C14" t="s">
        <v>26</v>
      </c>
      <c r="D14" t="s">
        <v>20</v>
      </c>
      <c r="E14" t="s">
        <v>41</v>
      </c>
      <c r="F14">
        <v>8</v>
      </c>
      <c r="G14">
        <v>320</v>
      </c>
      <c r="H14">
        <v>2560</v>
      </c>
      <c r="I14" t="s">
        <v>594</v>
      </c>
      <c r="J14" s="3">
        <v>45837</v>
      </c>
      <c r="K14" t="s">
        <v>17</v>
      </c>
    </row>
    <row r="15" spans="1:11" x14ac:dyDescent="0.25">
      <c r="A15" t="s">
        <v>59</v>
      </c>
      <c r="B15" t="s">
        <v>60</v>
      </c>
      <c r="C15" t="s">
        <v>26</v>
      </c>
      <c r="D15" t="s">
        <v>14</v>
      </c>
      <c r="E15" t="s">
        <v>48</v>
      </c>
      <c r="F15">
        <v>4</v>
      </c>
      <c r="G15">
        <v>949</v>
      </c>
      <c r="H15">
        <v>3796</v>
      </c>
      <c r="I15" t="s">
        <v>22</v>
      </c>
      <c r="J15" s="3">
        <v>45695</v>
      </c>
      <c r="K15" t="s">
        <v>17</v>
      </c>
    </row>
    <row r="16" spans="1:11" x14ac:dyDescent="0.25">
      <c r="A16" t="s">
        <v>61</v>
      </c>
      <c r="B16" t="s">
        <v>547</v>
      </c>
      <c r="C16" t="s">
        <v>26</v>
      </c>
      <c r="D16" t="s">
        <v>30</v>
      </c>
      <c r="E16" t="s">
        <v>62</v>
      </c>
      <c r="F16">
        <v>3</v>
      </c>
      <c r="G16">
        <v>698</v>
      </c>
      <c r="H16">
        <v>2094</v>
      </c>
      <c r="I16" t="s">
        <v>22</v>
      </c>
      <c r="J16" s="3">
        <v>45835</v>
      </c>
      <c r="K16" t="s">
        <v>17</v>
      </c>
    </row>
    <row r="17" spans="1:11" x14ac:dyDescent="0.25">
      <c r="A17" t="s">
        <v>63</v>
      </c>
      <c r="B17" t="s">
        <v>64</v>
      </c>
      <c r="C17" t="s">
        <v>26</v>
      </c>
      <c r="D17" t="s">
        <v>44</v>
      </c>
      <c r="E17" t="s">
        <v>45</v>
      </c>
      <c r="F17">
        <v>10</v>
      </c>
      <c r="G17">
        <v>343</v>
      </c>
      <c r="H17">
        <v>3430</v>
      </c>
      <c r="I17" t="s">
        <v>557</v>
      </c>
      <c r="J17" s="3">
        <v>45836</v>
      </c>
      <c r="K17" t="s">
        <v>65</v>
      </c>
    </row>
    <row r="18" spans="1:11" x14ac:dyDescent="0.25">
      <c r="A18" t="s">
        <v>66</v>
      </c>
      <c r="B18" t="s">
        <v>67</v>
      </c>
      <c r="C18" t="s">
        <v>26</v>
      </c>
      <c r="D18" t="s">
        <v>20</v>
      </c>
      <c r="E18" t="s">
        <v>41</v>
      </c>
      <c r="F18">
        <v>5</v>
      </c>
      <c r="G18">
        <v>583</v>
      </c>
      <c r="H18">
        <v>2915</v>
      </c>
      <c r="I18" t="s">
        <v>22</v>
      </c>
      <c r="J18" s="3">
        <v>45826</v>
      </c>
      <c r="K18" t="s">
        <v>17</v>
      </c>
    </row>
    <row r="19" spans="1:11" x14ac:dyDescent="0.25">
      <c r="A19" t="s">
        <v>68</v>
      </c>
      <c r="B19" t="s">
        <v>69</v>
      </c>
      <c r="C19" t="s">
        <v>26</v>
      </c>
      <c r="D19" t="s">
        <v>30</v>
      </c>
      <c r="E19" t="s">
        <v>70</v>
      </c>
      <c r="F19">
        <v>2</v>
      </c>
      <c r="G19">
        <v>1000</v>
      </c>
      <c r="H19">
        <v>2000</v>
      </c>
      <c r="I19" t="s">
        <v>557</v>
      </c>
      <c r="J19" s="3">
        <v>45836</v>
      </c>
      <c r="K19" t="s">
        <v>65</v>
      </c>
    </row>
    <row r="20" spans="1:11" x14ac:dyDescent="0.25">
      <c r="A20" t="s">
        <v>71</v>
      </c>
      <c r="B20" t="s">
        <v>72</v>
      </c>
      <c r="C20" t="s">
        <v>26</v>
      </c>
      <c r="D20" t="s">
        <v>20</v>
      </c>
      <c r="E20" t="s">
        <v>21</v>
      </c>
      <c r="F20">
        <v>10</v>
      </c>
      <c r="G20">
        <v>365</v>
      </c>
      <c r="H20">
        <v>3650</v>
      </c>
      <c r="I20" t="s">
        <v>16</v>
      </c>
      <c r="J20" s="3">
        <v>45814</v>
      </c>
      <c r="K20" t="s">
        <v>31</v>
      </c>
    </row>
    <row r="21" spans="1:11" x14ac:dyDescent="0.25">
      <c r="A21" t="s">
        <v>73</v>
      </c>
      <c r="B21" t="s">
        <v>74</v>
      </c>
      <c r="C21" t="s">
        <v>26</v>
      </c>
      <c r="D21" t="s">
        <v>20</v>
      </c>
      <c r="E21" t="s">
        <v>75</v>
      </c>
      <c r="F21">
        <v>10</v>
      </c>
      <c r="G21">
        <v>256</v>
      </c>
      <c r="H21">
        <v>2560</v>
      </c>
      <c r="I21" t="s">
        <v>22</v>
      </c>
      <c r="J21" s="3">
        <v>45834</v>
      </c>
      <c r="K21" t="s">
        <v>31</v>
      </c>
    </row>
    <row r="22" spans="1:11" x14ac:dyDescent="0.25">
      <c r="A22" t="s">
        <v>76</v>
      </c>
      <c r="B22" t="s">
        <v>77</v>
      </c>
      <c r="C22" t="s">
        <v>13</v>
      </c>
      <c r="D22" t="s">
        <v>14</v>
      </c>
      <c r="E22" t="s">
        <v>78</v>
      </c>
      <c r="F22">
        <v>1</v>
      </c>
      <c r="G22">
        <v>479</v>
      </c>
      <c r="H22">
        <v>1221</v>
      </c>
      <c r="I22" t="s">
        <v>594</v>
      </c>
      <c r="J22" s="3">
        <v>45844</v>
      </c>
      <c r="K22" t="s">
        <v>79</v>
      </c>
    </row>
    <row r="23" spans="1:11" x14ac:dyDescent="0.25">
      <c r="A23" t="s">
        <v>80</v>
      </c>
      <c r="B23" t="s">
        <v>81</v>
      </c>
      <c r="C23" t="s">
        <v>13</v>
      </c>
      <c r="D23" t="s">
        <v>44</v>
      </c>
      <c r="E23" t="s">
        <v>45</v>
      </c>
      <c r="F23">
        <v>4</v>
      </c>
      <c r="G23">
        <v>97</v>
      </c>
      <c r="H23">
        <v>388</v>
      </c>
      <c r="I23" t="s">
        <v>22</v>
      </c>
      <c r="J23" s="3">
        <v>45828</v>
      </c>
      <c r="K23" t="s">
        <v>79</v>
      </c>
    </row>
    <row r="24" spans="1:11" x14ac:dyDescent="0.25">
      <c r="A24" t="s">
        <v>82</v>
      </c>
      <c r="B24" t="s">
        <v>83</v>
      </c>
      <c r="C24" t="s">
        <v>26</v>
      </c>
      <c r="D24" t="s">
        <v>44</v>
      </c>
      <c r="E24" t="s">
        <v>45</v>
      </c>
      <c r="F24">
        <v>5</v>
      </c>
      <c r="G24">
        <v>168</v>
      </c>
      <c r="H24">
        <v>840</v>
      </c>
      <c r="I24" t="s">
        <v>557</v>
      </c>
      <c r="J24" s="3">
        <v>45827</v>
      </c>
      <c r="K24" t="s">
        <v>65</v>
      </c>
    </row>
    <row r="25" spans="1:11" x14ac:dyDescent="0.25">
      <c r="A25" t="s">
        <v>84</v>
      </c>
      <c r="B25" t="s">
        <v>85</v>
      </c>
      <c r="C25" t="s">
        <v>13</v>
      </c>
      <c r="D25" t="s">
        <v>20</v>
      </c>
      <c r="E25" t="s">
        <v>21</v>
      </c>
      <c r="F25">
        <v>10</v>
      </c>
      <c r="G25">
        <v>579</v>
      </c>
      <c r="H25">
        <v>5790</v>
      </c>
      <c r="I25" t="s">
        <v>557</v>
      </c>
      <c r="J25" s="3">
        <v>45695</v>
      </c>
      <c r="K25" t="s">
        <v>35</v>
      </c>
    </row>
    <row r="26" spans="1:11" x14ac:dyDescent="0.25">
      <c r="A26" t="s">
        <v>86</v>
      </c>
      <c r="B26" t="s">
        <v>587</v>
      </c>
      <c r="C26" t="s">
        <v>26</v>
      </c>
      <c r="D26" t="s">
        <v>30</v>
      </c>
      <c r="E26" t="s">
        <v>70</v>
      </c>
      <c r="F26">
        <v>3</v>
      </c>
      <c r="G26">
        <v>263</v>
      </c>
      <c r="H26">
        <v>789</v>
      </c>
      <c r="I26" t="s">
        <v>557</v>
      </c>
      <c r="J26" s="3">
        <v>45695</v>
      </c>
      <c r="K26" t="s">
        <v>79</v>
      </c>
    </row>
    <row r="27" spans="1:11" x14ac:dyDescent="0.25">
      <c r="A27" t="s">
        <v>87</v>
      </c>
      <c r="B27" t="s">
        <v>562</v>
      </c>
      <c r="C27" t="s">
        <v>13</v>
      </c>
      <c r="D27" t="s">
        <v>20</v>
      </c>
      <c r="E27" t="s">
        <v>88</v>
      </c>
      <c r="F27">
        <v>1</v>
      </c>
      <c r="G27">
        <v>291</v>
      </c>
      <c r="H27">
        <v>291</v>
      </c>
      <c r="I27" t="s">
        <v>22</v>
      </c>
      <c r="J27" s="3">
        <v>45830</v>
      </c>
      <c r="K27" t="s">
        <v>65</v>
      </c>
    </row>
    <row r="28" spans="1:11" x14ac:dyDescent="0.25">
      <c r="A28" t="s">
        <v>89</v>
      </c>
      <c r="B28" t="s">
        <v>90</v>
      </c>
      <c r="C28" t="s">
        <v>13</v>
      </c>
      <c r="D28" t="s">
        <v>20</v>
      </c>
      <c r="E28" t="s">
        <v>21</v>
      </c>
      <c r="F28">
        <v>9</v>
      </c>
      <c r="G28">
        <v>457</v>
      </c>
      <c r="H28">
        <v>4113</v>
      </c>
      <c r="I28" t="s">
        <v>16</v>
      </c>
      <c r="J28" s="3">
        <v>45837</v>
      </c>
      <c r="K28" t="s">
        <v>23</v>
      </c>
    </row>
    <row r="29" spans="1:11" x14ac:dyDescent="0.25">
      <c r="A29" t="s">
        <v>91</v>
      </c>
      <c r="B29" t="s">
        <v>92</v>
      </c>
      <c r="C29" t="s">
        <v>13</v>
      </c>
      <c r="D29" t="s">
        <v>30</v>
      </c>
      <c r="E29" t="s">
        <v>70</v>
      </c>
      <c r="F29">
        <v>3</v>
      </c>
      <c r="G29">
        <v>772</v>
      </c>
      <c r="H29">
        <v>2316</v>
      </c>
      <c r="I29" t="s">
        <v>16</v>
      </c>
      <c r="J29" s="3">
        <v>45829</v>
      </c>
      <c r="K29" t="s">
        <v>31</v>
      </c>
    </row>
    <row r="30" spans="1:11" x14ac:dyDescent="0.25">
      <c r="A30" t="s">
        <v>93</v>
      </c>
      <c r="B30" t="s">
        <v>94</v>
      </c>
      <c r="C30" t="s">
        <v>26</v>
      </c>
      <c r="D30" t="s">
        <v>14</v>
      </c>
      <c r="E30" t="s">
        <v>15</v>
      </c>
      <c r="F30">
        <v>8</v>
      </c>
      <c r="G30">
        <v>362</v>
      </c>
      <c r="H30">
        <v>2896</v>
      </c>
      <c r="I30" t="s">
        <v>22</v>
      </c>
      <c r="J30" s="3">
        <v>45722</v>
      </c>
      <c r="K30" t="s">
        <v>17</v>
      </c>
    </row>
    <row r="31" spans="1:11" x14ac:dyDescent="0.25">
      <c r="A31" t="s">
        <v>96</v>
      </c>
      <c r="B31" t="s">
        <v>548</v>
      </c>
      <c r="C31" t="s">
        <v>13</v>
      </c>
      <c r="D31" t="s">
        <v>30</v>
      </c>
      <c r="E31" t="s">
        <v>34</v>
      </c>
      <c r="F31">
        <v>1</v>
      </c>
      <c r="G31">
        <v>274</v>
      </c>
      <c r="H31">
        <v>274</v>
      </c>
      <c r="I31" t="s">
        <v>594</v>
      </c>
      <c r="J31" s="3">
        <v>45783</v>
      </c>
      <c r="K31" t="s">
        <v>79</v>
      </c>
    </row>
    <row r="32" spans="1:11" x14ac:dyDescent="0.25">
      <c r="A32" t="s">
        <v>97</v>
      </c>
      <c r="B32" t="s">
        <v>98</v>
      </c>
      <c r="C32" t="s">
        <v>13</v>
      </c>
      <c r="D32" t="s">
        <v>14</v>
      </c>
      <c r="E32" t="s">
        <v>99</v>
      </c>
      <c r="F32">
        <v>10</v>
      </c>
      <c r="G32">
        <v>104</v>
      </c>
      <c r="H32">
        <v>1040</v>
      </c>
      <c r="I32" t="s">
        <v>16</v>
      </c>
      <c r="J32" s="3">
        <v>45753</v>
      </c>
      <c r="K32" t="s">
        <v>23</v>
      </c>
    </row>
    <row r="33" spans="1:11" x14ac:dyDescent="0.25">
      <c r="A33" t="s">
        <v>100</v>
      </c>
      <c r="B33" t="s">
        <v>101</v>
      </c>
      <c r="C33" t="s">
        <v>26</v>
      </c>
      <c r="D33" t="s">
        <v>20</v>
      </c>
      <c r="E33" t="s">
        <v>21</v>
      </c>
      <c r="F33">
        <v>1</v>
      </c>
      <c r="G33">
        <v>764</v>
      </c>
      <c r="H33">
        <v>1359</v>
      </c>
      <c r="I33" t="s">
        <v>557</v>
      </c>
      <c r="J33" s="3">
        <v>45836</v>
      </c>
      <c r="K33" t="s">
        <v>17</v>
      </c>
    </row>
    <row r="34" spans="1:11" x14ac:dyDescent="0.25">
      <c r="A34" t="s">
        <v>102</v>
      </c>
      <c r="B34" t="s">
        <v>103</v>
      </c>
      <c r="C34" t="s">
        <v>13</v>
      </c>
      <c r="D34" t="s">
        <v>30</v>
      </c>
      <c r="E34" t="s">
        <v>70</v>
      </c>
      <c r="F34">
        <v>9</v>
      </c>
      <c r="G34">
        <v>192</v>
      </c>
      <c r="H34">
        <v>1728</v>
      </c>
      <c r="I34" t="s">
        <v>594</v>
      </c>
      <c r="J34" s="3">
        <v>45825</v>
      </c>
      <c r="K34" t="s">
        <v>65</v>
      </c>
    </row>
    <row r="35" spans="1:11" x14ac:dyDescent="0.25">
      <c r="A35" t="s">
        <v>104</v>
      </c>
      <c r="B35" t="s">
        <v>105</v>
      </c>
      <c r="C35" t="s">
        <v>26</v>
      </c>
      <c r="D35" t="s">
        <v>14</v>
      </c>
      <c r="E35" t="s">
        <v>78</v>
      </c>
      <c r="F35">
        <v>5</v>
      </c>
      <c r="G35">
        <v>295</v>
      </c>
      <c r="H35">
        <f>F35*G35</f>
        <v>1475</v>
      </c>
      <c r="I35" t="s">
        <v>16</v>
      </c>
      <c r="J35" s="3">
        <v>45837</v>
      </c>
      <c r="K35" t="s">
        <v>65</v>
      </c>
    </row>
    <row r="36" spans="1:11" x14ac:dyDescent="0.25">
      <c r="A36" t="s">
        <v>106</v>
      </c>
      <c r="B36" t="s">
        <v>107</v>
      </c>
      <c r="C36" t="s">
        <v>26</v>
      </c>
      <c r="D36" t="s">
        <v>44</v>
      </c>
      <c r="E36" t="s">
        <v>56</v>
      </c>
      <c r="F36">
        <v>10</v>
      </c>
      <c r="G36">
        <v>536</v>
      </c>
      <c r="H36">
        <v>5360</v>
      </c>
      <c r="I36" t="s">
        <v>557</v>
      </c>
      <c r="J36" s="3">
        <v>45844</v>
      </c>
      <c r="K36" t="s">
        <v>23</v>
      </c>
    </row>
    <row r="37" spans="1:11" x14ac:dyDescent="0.25">
      <c r="A37" t="s">
        <v>108</v>
      </c>
      <c r="B37" t="s">
        <v>549</v>
      </c>
      <c r="C37" t="s">
        <v>13</v>
      </c>
      <c r="D37" t="s">
        <v>14</v>
      </c>
      <c r="E37" t="s">
        <v>109</v>
      </c>
      <c r="F37">
        <v>7</v>
      </c>
      <c r="G37">
        <v>228</v>
      </c>
      <c r="H37">
        <v>1596</v>
      </c>
      <c r="I37" t="s">
        <v>594</v>
      </c>
      <c r="J37" s="3">
        <v>45832</v>
      </c>
      <c r="K37" t="s">
        <v>23</v>
      </c>
    </row>
    <row r="38" spans="1:11" x14ac:dyDescent="0.25">
      <c r="A38" t="s">
        <v>110</v>
      </c>
      <c r="B38" t="s">
        <v>111</v>
      </c>
      <c r="C38" t="s">
        <v>13</v>
      </c>
      <c r="D38" t="s">
        <v>20</v>
      </c>
      <c r="E38" t="s">
        <v>112</v>
      </c>
      <c r="F38">
        <v>10</v>
      </c>
      <c r="G38">
        <v>711</v>
      </c>
      <c r="H38">
        <v>7110</v>
      </c>
      <c r="I38" t="s">
        <v>22</v>
      </c>
      <c r="J38" s="3">
        <v>45830</v>
      </c>
      <c r="K38" t="s">
        <v>17</v>
      </c>
    </row>
    <row r="39" spans="1:11" x14ac:dyDescent="0.25">
      <c r="A39" t="s">
        <v>114</v>
      </c>
      <c r="B39" t="s">
        <v>115</v>
      </c>
      <c r="C39" t="s">
        <v>26</v>
      </c>
      <c r="D39" t="s">
        <v>14</v>
      </c>
      <c r="E39" t="s">
        <v>109</v>
      </c>
      <c r="F39">
        <v>9</v>
      </c>
      <c r="G39">
        <v>992</v>
      </c>
      <c r="H39">
        <v>8928</v>
      </c>
      <c r="I39" t="s">
        <v>16</v>
      </c>
      <c r="J39" s="3">
        <v>45827</v>
      </c>
      <c r="K39" t="s">
        <v>17</v>
      </c>
    </row>
    <row r="40" spans="1:11" x14ac:dyDescent="0.25">
      <c r="A40" t="s">
        <v>117</v>
      </c>
      <c r="B40" t="s">
        <v>118</v>
      </c>
      <c r="C40" t="s">
        <v>13</v>
      </c>
      <c r="D40" t="s">
        <v>44</v>
      </c>
      <c r="E40" t="s">
        <v>56</v>
      </c>
      <c r="F40">
        <v>2</v>
      </c>
      <c r="G40">
        <v>395</v>
      </c>
      <c r="H40">
        <v>790</v>
      </c>
      <c r="I40" t="s">
        <v>16</v>
      </c>
      <c r="J40" s="3">
        <v>45814</v>
      </c>
      <c r="K40" t="s">
        <v>35</v>
      </c>
    </row>
    <row r="41" spans="1:11" x14ac:dyDescent="0.25">
      <c r="A41" t="s">
        <v>119</v>
      </c>
      <c r="B41" t="s">
        <v>120</v>
      </c>
      <c r="C41" t="s">
        <v>13</v>
      </c>
      <c r="D41" t="s">
        <v>14</v>
      </c>
      <c r="E41" t="s">
        <v>48</v>
      </c>
      <c r="F41">
        <v>10</v>
      </c>
      <c r="G41">
        <v>524</v>
      </c>
      <c r="H41">
        <v>5240</v>
      </c>
      <c r="I41" t="s">
        <v>16</v>
      </c>
      <c r="J41" s="3">
        <v>45828</v>
      </c>
      <c r="K41" t="s">
        <v>79</v>
      </c>
    </row>
    <row r="42" spans="1:11" x14ac:dyDescent="0.25">
      <c r="A42" t="s">
        <v>121</v>
      </c>
      <c r="B42" t="s">
        <v>122</v>
      </c>
      <c r="C42" t="s">
        <v>13</v>
      </c>
      <c r="D42" t="s">
        <v>14</v>
      </c>
      <c r="E42" t="s">
        <v>99</v>
      </c>
      <c r="F42">
        <v>1</v>
      </c>
      <c r="G42">
        <v>729</v>
      </c>
      <c r="H42">
        <v>729</v>
      </c>
      <c r="I42" t="s">
        <v>557</v>
      </c>
      <c r="J42" s="3">
        <v>45936</v>
      </c>
      <c r="K42" t="s">
        <v>65</v>
      </c>
    </row>
    <row r="43" spans="1:11" x14ac:dyDescent="0.25">
      <c r="A43" t="s">
        <v>123</v>
      </c>
      <c r="B43" t="s">
        <v>124</v>
      </c>
      <c r="C43" t="s">
        <v>13</v>
      </c>
      <c r="D43" t="s">
        <v>44</v>
      </c>
      <c r="E43" t="s">
        <v>125</v>
      </c>
      <c r="F43">
        <v>8</v>
      </c>
      <c r="G43">
        <v>794</v>
      </c>
      <c r="H43">
        <v>6352</v>
      </c>
      <c r="I43" t="s">
        <v>22</v>
      </c>
      <c r="J43" s="3">
        <v>45831</v>
      </c>
      <c r="K43" t="s">
        <v>35</v>
      </c>
    </row>
    <row r="44" spans="1:11" x14ac:dyDescent="0.25">
      <c r="A44" t="s">
        <v>126</v>
      </c>
      <c r="B44" t="s">
        <v>127</v>
      </c>
      <c r="C44" t="s">
        <v>26</v>
      </c>
      <c r="D44" t="s">
        <v>30</v>
      </c>
      <c r="E44" t="s">
        <v>62</v>
      </c>
      <c r="F44">
        <v>8</v>
      </c>
      <c r="G44">
        <v>999</v>
      </c>
      <c r="H44">
        <v>7992</v>
      </c>
      <c r="I44" t="s">
        <v>557</v>
      </c>
      <c r="J44" s="3">
        <v>45967</v>
      </c>
      <c r="K44" t="s">
        <v>17</v>
      </c>
    </row>
    <row r="45" spans="1:11" x14ac:dyDescent="0.25">
      <c r="A45" t="s">
        <v>128</v>
      </c>
      <c r="B45" t="s">
        <v>129</v>
      </c>
      <c r="C45" t="s">
        <v>13</v>
      </c>
      <c r="D45" t="s">
        <v>14</v>
      </c>
      <c r="E45" t="s">
        <v>48</v>
      </c>
      <c r="F45">
        <v>1</v>
      </c>
      <c r="G45">
        <v>137</v>
      </c>
      <c r="H45">
        <v>137</v>
      </c>
      <c r="I45" t="s">
        <v>594</v>
      </c>
      <c r="J45" s="3">
        <v>45835</v>
      </c>
      <c r="K45" t="s">
        <v>79</v>
      </c>
    </row>
    <row r="46" spans="1:11" x14ac:dyDescent="0.25">
      <c r="A46" t="s">
        <v>130</v>
      </c>
      <c r="B46" t="s">
        <v>131</v>
      </c>
      <c r="C46" t="s">
        <v>13</v>
      </c>
      <c r="D46" t="s">
        <v>20</v>
      </c>
      <c r="E46" t="s">
        <v>41</v>
      </c>
      <c r="F46">
        <v>3</v>
      </c>
      <c r="G46">
        <v>605</v>
      </c>
      <c r="H46">
        <v>1815</v>
      </c>
      <c r="I46" t="s">
        <v>594</v>
      </c>
      <c r="J46" s="3">
        <v>45822</v>
      </c>
      <c r="K46" t="s">
        <v>79</v>
      </c>
    </row>
    <row r="47" spans="1:11" x14ac:dyDescent="0.25">
      <c r="A47" t="s">
        <v>132</v>
      </c>
      <c r="B47" t="s">
        <v>133</v>
      </c>
      <c r="C47" t="s">
        <v>13</v>
      </c>
      <c r="D47" t="s">
        <v>14</v>
      </c>
      <c r="E47" t="s">
        <v>48</v>
      </c>
      <c r="F47">
        <v>3</v>
      </c>
      <c r="G47">
        <v>828</v>
      </c>
      <c r="H47">
        <v>2484</v>
      </c>
      <c r="I47" t="s">
        <v>16</v>
      </c>
      <c r="J47" s="3">
        <v>45832</v>
      </c>
      <c r="K47" t="s">
        <v>31</v>
      </c>
    </row>
    <row r="48" spans="1:11" x14ac:dyDescent="0.25">
      <c r="A48" t="s">
        <v>134</v>
      </c>
      <c r="B48" t="s">
        <v>135</v>
      </c>
      <c r="C48" t="s">
        <v>26</v>
      </c>
      <c r="D48" t="s">
        <v>44</v>
      </c>
      <c r="E48" t="s">
        <v>125</v>
      </c>
      <c r="F48">
        <v>2</v>
      </c>
      <c r="G48">
        <v>73</v>
      </c>
      <c r="H48">
        <v>146</v>
      </c>
      <c r="I48" t="s">
        <v>16</v>
      </c>
      <c r="J48" s="3">
        <v>45837</v>
      </c>
      <c r="K48" t="s">
        <v>17</v>
      </c>
    </row>
    <row r="49" spans="1:11" x14ac:dyDescent="0.25">
      <c r="A49" t="s">
        <v>136</v>
      </c>
      <c r="B49" t="s">
        <v>137</v>
      </c>
      <c r="C49" t="s">
        <v>13</v>
      </c>
      <c r="D49" t="s">
        <v>44</v>
      </c>
      <c r="E49" t="s">
        <v>45</v>
      </c>
      <c r="F49">
        <v>10</v>
      </c>
      <c r="G49">
        <v>772</v>
      </c>
      <c r="H49">
        <v>7720</v>
      </c>
      <c r="I49" t="s">
        <v>557</v>
      </c>
      <c r="J49" s="3">
        <v>45835</v>
      </c>
      <c r="K49" t="s">
        <v>17</v>
      </c>
    </row>
    <row r="50" spans="1:11" x14ac:dyDescent="0.25">
      <c r="A50" t="s">
        <v>139</v>
      </c>
      <c r="B50" t="s">
        <v>140</v>
      </c>
      <c r="C50" t="s">
        <v>26</v>
      </c>
      <c r="D50" t="s">
        <v>20</v>
      </c>
      <c r="E50" t="s">
        <v>88</v>
      </c>
      <c r="F50">
        <v>9</v>
      </c>
      <c r="G50">
        <v>980</v>
      </c>
      <c r="H50">
        <v>8820</v>
      </c>
      <c r="I50" t="s">
        <v>557</v>
      </c>
      <c r="J50" s="3">
        <v>45826</v>
      </c>
      <c r="K50" t="s">
        <v>79</v>
      </c>
    </row>
    <row r="51" spans="1:11" x14ac:dyDescent="0.25">
      <c r="A51" t="s">
        <v>141</v>
      </c>
      <c r="B51" t="s">
        <v>142</v>
      </c>
      <c r="C51" t="s">
        <v>26</v>
      </c>
      <c r="D51" t="s">
        <v>30</v>
      </c>
      <c r="E51" t="s">
        <v>143</v>
      </c>
      <c r="F51">
        <v>5</v>
      </c>
      <c r="G51">
        <v>529</v>
      </c>
      <c r="H51">
        <v>2645</v>
      </c>
      <c r="I51" t="s">
        <v>557</v>
      </c>
      <c r="J51" s="3">
        <v>45837</v>
      </c>
      <c r="K51" t="s">
        <v>35</v>
      </c>
    </row>
    <row r="52" spans="1:11" x14ac:dyDescent="0.25">
      <c r="A52" t="s">
        <v>144</v>
      </c>
      <c r="B52" t="s">
        <v>145</v>
      </c>
      <c r="C52" t="s">
        <v>13</v>
      </c>
      <c r="D52" t="s">
        <v>20</v>
      </c>
      <c r="E52" t="s">
        <v>112</v>
      </c>
      <c r="F52">
        <v>5</v>
      </c>
      <c r="G52">
        <v>746</v>
      </c>
      <c r="H52">
        <v>3730</v>
      </c>
      <c r="I52" t="s">
        <v>22</v>
      </c>
      <c r="J52" s="3">
        <v>45722</v>
      </c>
      <c r="K52" t="s">
        <v>17</v>
      </c>
    </row>
    <row r="53" spans="1:11" x14ac:dyDescent="0.25">
      <c r="A53" t="s">
        <v>146</v>
      </c>
      <c r="B53" t="s">
        <v>147</v>
      </c>
      <c r="C53" t="s">
        <v>26</v>
      </c>
      <c r="D53" t="s">
        <v>30</v>
      </c>
      <c r="E53" t="s">
        <v>34</v>
      </c>
      <c r="F53">
        <v>5</v>
      </c>
      <c r="G53">
        <v>173</v>
      </c>
      <c r="H53">
        <v>865</v>
      </c>
      <c r="I53" t="s">
        <v>16</v>
      </c>
      <c r="J53" s="3">
        <v>45814</v>
      </c>
      <c r="K53" t="s">
        <v>31</v>
      </c>
    </row>
    <row r="54" spans="1:11" x14ac:dyDescent="0.25">
      <c r="A54" t="s">
        <v>148</v>
      </c>
      <c r="B54" t="s">
        <v>149</v>
      </c>
      <c r="C54" t="s">
        <v>13</v>
      </c>
      <c r="D54" t="s">
        <v>30</v>
      </c>
      <c r="E54" t="s">
        <v>38</v>
      </c>
      <c r="F54">
        <v>7</v>
      </c>
      <c r="G54">
        <v>710</v>
      </c>
      <c r="H54">
        <v>4970</v>
      </c>
      <c r="I54" t="s">
        <v>22</v>
      </c>
      <c r="J54" s="3">
        <v>45822</v>
      </c>
      <c r="K54" t="s">
        <v>31</v>
      </c>
    </row>
    <row r="55" spans="1:11" x14ac:dyDescent="0.25">
      <c r="A55" t="s">
        <v>150</v>
      </c>
      <c r="B55" t="s">
        <v>151</v>
      </c>
      <c r="C55" t="s">
        <v>13</v>
      </c>
      <c r="D55" t="s">
        <v>30</v>
      </c>
      <c r="E55" t="s">
        <v>62</v>
      </c>
      <c r="F55">
        <v>5</v>
      </c>
      <c r="G55">
        <v>295</v>
      </c>
      <c r="H55">
        <v>1475</v>
      </c>
      <c r="I55" t="s">
        <v>22</v>
      </c>
      <c r="J55" s="3">
        <v>45814</v>
      </c>
      <c r="K55" t="s">
        <v>17</v>
      </c>
    </row>
    <row r="56" spans="1:11" x14ac:dyDescent="0.25">
      <c r="A56" t="s">
        <v>152</v>
      </c>
      <c r="B56" t="s">
        <v>153</v>
      </c>
      <c r="C56" t="s">
        <v>26</v>
      </c>
      <c r="D56" t="s">
        <v>20</v>
      </c>
      <c r="E56" t="s">
        <v>75</v>
      </c>
      <c r="F56">
        <v>3</v>
      </c>
      <c r="G56">
        <v>227</v>
      </c>
      <c r="H56">
        <v>681</v>
      </c>
      <c r="I56" t="s">
        <v>594</v>
      </c>
      <c r="J56" s="3">
        <v>45936</v>
      </c>
      <c r="K56" t="s">
        <v>31</v>
      </c>
    </row>
    <row r="57" spans="1:11" x14ac:dyDescent="0.25">
      <c r="A57" t="s">
        <v>154</v>
      </c>
      <c r="B57" t="s">
        <v>155</v>
      </c>
      <c r="C57" t="s">
        <v>13</v>
      </c>
      <c r="D57" t="s">
        <v>20</v>
      </c>
      <c r="E57" t="s">
        <v>88</v>
      </c>
      <c r="F57">
        <v>4</v>
      </c>
      <c r="G57">
        <v>777</v>
      </c>
      <c r="H57">
        <v>3108</v>
      </c>
      <c r="I57" t="s">
        <v>557</v>
      </c>
      <c r="J57" s="3">
        <v>45832</v>
      </c>
      <c r="K57" t="s">
        <v>65</v>
      </c>
    </row>
    <row r="58" spans="1:11" x14ac:dyDescent="0.25">
      <c r="A58" t="s">
        <v>157</v>
      </c>
      <c r="B58" t="s">
        <v>158</v>
      </c>
      <c r="C58" t="s">
        <v>26</v>
      </c>
      <c r="D58" t="s">
        <v>14</v>
      </c>
      <c r="E58" t="s">
        <v>78</v>
      </c>
      <c r="F58">
        <v>6</v>
      </c>
      <c r="G58">
        <v>400</v>
      </c>
      <c r="H58">
        <v>2400</v>
      </c>
      <c r="I58" t="s">
        <v>594</v>
      </c>
      <c r="J58" s="3">
        <v>45722</v>
      </c>
      <c r="K58" t="s">
        <v>35</v>
      </c>
    </row>
    <row r="59" spans="1:11" x14ac:dyDescent="0.25">
      <c r="A59" t="s">
        <v>159</v>
      </c>
      <c r="B59" t="s">
        <v>160</v>
      </c>
      <c r="C59" t="s">
        <v>26</v>
      </c>
      <c r="D59" t="s">
        <v>14</v>
      </c>
      <c r="E59" t="s">
        <v>48</v>
      </c>
      <c r="F59">
        <v>5</v>
      </c>
      <c r="G59">
        <v>364</v>
      </c>
      <c r="H59">
        <v>1820</v>
      </c>
      <c r="I59" t="s">
        <v>594</v>
      </c>
      <c r="J59" s="3">
        <v>45828</v>
      </c>
      <c r="K59" t="s">
        <v>23</v>
      </c>
    </row>
    <row r="60" spans="1:11" x14ac:dyDescent="0.25">
      <c r="A60" t="s">
        <v>161</v>
      </c>
      <c r="B60" t="s">
        <v>162</v>
      </c>
      <c r="C60" t="s">
        <v>587</v>
      </c>
      <c r="D60" t="s">
        <v>30</v>
      </c>
      <c r="E60" t="s">
        <v>62</v>
      </c>
      <c r="F60">
        <v>3</v>
      </c>
      <c r="G60">
        <v>825</v>
      </c>
      <c r="H60">
        <v>2475</v>
      </c>
      <c r="I60" t="s">
        <v>16</v>
      </c>
      <c r="J60" s="3">
        <v>45836</v>
      </c>
      <c r="K60" t="s">
        <v>35</v>
      </c>
    </row>
    <row r="61" spans="1:11" x14ac:dyDescent="0.25">
      <c r="A61" t="s">
        <v>164</v>
      </c>
      <c r="B61" t="s">
        <v>165</v>
      </c>
      <c r="C61" t="s">
        <v>26</v>
      </c>
      <c r="D61" t="s">
        <v>14</v>
      </c>
      <c r="E61" t="s">
        <v>78</v>
      </c>
      <c r="F61">
        <v>7</v>
      </c>
      <c r="G61">
        <v>841</v>
      </c>
      <c r="H61">
        <v>5887</v>
      </c>
      <c r="I61" t="s">
        <v>557</v>
      </c>
      <c r="J61" s="3">
        <v>45875</v>
      </c>
      <c r="K61" t="s">
        <v>23</v>
      </c>
    </row>
    <row r="62" spans="1:11" x14ac:dyDescent="0.25">
      <c r="A62" t="s">
        <v>166</v>
      </c>
      <c r="B62" t="s">
        <v>167</v>
      </c>
      <c r="C62" t="s">
        <v>13</v>
      </c>
      <c r="D62" t="s">
        <v>20</v>
      </c>
      <c r="E62" t="s">
        <v>75</v>
      </c>
      <c r="F62">
        <v>6</v>
      </c>
      <c r="G62">
        <v>54</v>
      </c>
      <c r="H62">
        <v>324</v>
      </c>
      <c r="I62" t="s">
        <v>594</v>
      </c>
      <c r="J62" s="3">
        <v>45997</v>
      </c>
      <c r="K62" t="s">
        <v>17</v>
      </c>
    </row>
    <row r="63" spans="1:11" x14ac:dyDescent="0.25">
      <c r="A63" t="s">
        <v>168</v>
      </c>
      <c r="B63" t="s">
        <v>169</v>
      </c>
      <c r="C63" t="s">
        <v>26</v>
      </c>
      <c r="D63" t="s">
        <v>44</v>
      </c>
      <c r="E63" t="s">
        <v>170</v>
      </c>
      <c r="F63">
        <v>1</v>
      </c>
      <c r="G63">
        <v>431</v>
      </c>
      <c r="H63">
        <v>431</v>
      </c>
      <c r="I63" t="s">
        <v>22</v>
      </c>
      <c r="J63" s="3">
        <v>45833</v>
      </c>
      <c r="K63" t="s">
        <v>17</v>
      </c>
    </row>
    <row r="64" spans="1:11" x14ac:dyDescent="0.25">
      <c r="A64" t="s">
        <v>171</v>
      </c>
      <c r="B64" t="s">
        <v>172</v>
      </c>
      <c r="C64" t="s">
        <v>13</v>
      </c>
      <c r="D64" t="s">
        <v>14</v>
      </c>
      <c r="E64" t="s">
        <v>78</v>
      </c>
      <c r="F64">
        <v>3</v>
      </c>
      <c r="G64">
        <v>9450</v>
      </c>
      <c r="H64">
        <v>567</v>
      </c>
      <c r="I64" t="s">
        <v>22</v>
      </c>
      <c r="J64" s="3">
        <v>45830</v>
      </c>
      <c r="K64" t="s">
        <v>23</v>
      </c>
    </row>
    <row r="65" spans="1:11" x14ac:dyDescent="0.25">
      <c r="A65" t="s">
        <v>173</v>
      </c>
      <c r="B65" t="s">
        <v>174</v>
      </c>
      <c r="C65" t="s">
        <v>26</v>
      </c>
      <c r="D65" t="s">
        <v>44</v>
      </c>
      <c r="E65" t="s">
        <v>175</v>
      </c>
      <c r="F65">
        <v>5</v>
      </c>
      <c r="G65">
        <v>761</v>
      </c>
      <c r="H65">
        <v>3805</v>
      </c>
      <c r="I65" t="s">
        <v>16</v>
      </c>
      <c r="J65" s="3">
        <v>45823</v>
      </c>
      <c r="K65" t="s">
        <v>79</v>
      </c>
    </row>
    <row r="66" spans="1:11" x14ac:dyDescent="0.25">
      <c r="A66" t="s">
        <v>176</v>
      </c>
      <c r="B66" t="s">
        <v>177</v>
      </c>
      <c r="C66" t="s">
        <v>13</v>
      </c>
      <c r="D66" t="s">
        <v>14</v>
      </c>
      <c r="E66" t="s">
        <v>15</v>
      </c>
      <c r="F66">
        <v>5</v>
      </c>
      <c r="G66">
        <v>280</v>
      </c>
      <c r="H66">
        <v>1400</v>
      </c>
      <c r="I66" t="s">
        <v>594</v>
      </c>
      <c r="J66" s="3">
        <v>45783</v>
      </c>
      <c r="K66" t="s">
        <v>65</v>
      </c>
    </row>
    <row r="67" spans="1:11" x14ac:dyDescent="0.25">
      <c r="A67" t="s">
        <v>178</v>
      </c>
      <c r="B67" t="s">
        <v>179</v>
      </c>
      <c r="C67" t="s">
        <v>13</v>
      </c>
      <c r="D67" t="s">
        <v>30</v>
      </c>
      <c r="E67" t="s">
        <v>62</v>
      </c>
      <c r="F67">
        <v>4</v>
      </c>
      <c r="G67">
        <v>528</v>
      </c>
      <c r="H67">
        <v>2610</v>
      </c>
      <c r="I67" t="s">
        <v>22</v>
      </c>
      <c r="J67" s="3">
        <v>45837</v>
      </c>
      <c r="K67" t="s">
        <v>23</v>
      </c>
    </row>
    <row r="68" spans="1:11" x14ac:dyDescent="0.25">
      <c r="A68" t="s">
        <v>180</v>
      </c>
      <c r="B68" t="s">
        <v>181</v>
      </c>
      <c r="C68" t="s">
        <v>26</v>
      </c>
      <c r="D68" t="s">
        <v>30</v>
      </c>
      <c r="E68" t="s">
        <v>62</v>
      </c>
      <c r="F68">
        <v>4</v>
      </c>
      <c r="G68">
        <v>212</v>
      </c>
      <c r="H68">
        <v>848</v>
      </c>
      <c r="I68" t="s">
        <v>594</v>
      </c>
      <c r="J68" s="3">
        <v>45817</v>
      </c>
      <c r="K68" t="s">
        <v>17</v>
      </c>
    </row>
    <row r="69" spans="1:11" x14ac:dyDescent="0.25">
      <c r="A69" t="s">
        <v>183</v>
      </c>
      <c r="B69" t="s">
        <v>184</v>
      </c>
      <c r="C69" t="s">
        <v>13</v>
      </c>
      <c r="D69" t="s">
        <v>20</v>
      </c>
      <c r="E69" t="s">
        <v>88</v>
      </c>
      <c r="F69">
        <v>9</v>
      </c>
      <c r="G69">
        <v>713</v>
      </c>
      <c r="H69">
        <v>6417</v>
      </c>
      <c r="I69" t="s">
        <v>557</v>
      </c>
      <c r="J69" s="3">
        <v>45823</v>
      </c>
      <c r="K69" t="s">
        <v>23</v>
      </c>
    </row>
    <row r="70" spans="1:11" x14ac:dyDescent="0.25">
      <c r="A70" t="s">
        <v>185</v>
      </c>
      <c r="B70" t="s">
        <v>186</v>
      </c>
      <c r="C70" t="s">
        <v>26</v>
      </c>
      <c r="D70" t="s">
        <v>30</v>
      </c>
      <c r="E70" t="s">
        <v>34</v>
      </c>
      <c r="F70">
        <v>10</v>
      </c>
      <c r="G70">
        <v>461</v>
      </c>
      <c r="H70">
        <v>4610</v>
      </c>
      <c r="I70" t="s">
        <v>557</v>
      </c>
      <c r="J70" s="3">
        <v>45753</v>
      </c>
      <c r="K70" t="s">
        <v>65</v>
      </c>
    </row>
    <row r="71" spans="1:11" x14ac:dyDescent="0.25">
      <c r="A71" t="s">
        <v>187</v>
      </c>
      <c r="B71" t="s">
        <v>188</v>
      </c>
      <c r="C71" t="s">
        <v>13</v>
      </c>
      <c r="D71" t="s">
        <v>14</v>
      </c>
      <c r="E71" t="s">
        <v>109</v>
      </c>
      <c r="F71">
        <v>8</v>
      </c>
      <c r="G71">
        <v>472</v>
      </c>
      <c r="H71">
        <v>3776</v>
      </c>
      <c r="I71" t="s">
        <v>557</v>
      </c>
      <c r="J71" s="3">
        <v>45823</v>
      </c>
      <c r="K71" t="s">
        <v>23</v>
      </c>
    </row>
    <row r="72" spans="1:11" x14ac:dyDescent="0.25">
      <c r="A72" t="s">
        <v>189</v>
      </c>
      <c r="B72" t="s">
        <v>190</v>
      </c>
      <c r="C72" t="s">
        <v>13</v>
      </c>
      <c r="D72" t="s">
        <v>30</v>
      </c>
      <c r="E72" t="s">
        <v>34</v>
      </c>
      <c r="F72">
        <v>6</v>
      </c>
      <c r="G72">
        <v>599</v>
      </c>
      <c r="H72">
        <v>3594</v>
      </c>
      <c r="I72" t="s">
        <v>587</v>
      </c>
      <c r="J72" s="3">
        <v>45831</v>
      </c>
      <c r="K72" t="s">
        <v>65</v>
      </c>
    </row>
    <row r="73" spans="1:11" x14ac:dyDescent="0.25">
      <c r="A73" t="s">
        <v>191</v>
      </c>
      <c r="B73" t="s">
        <v>192</v>
      </c>
      <c r="C73" t="s">
        <v>26</v>
      </c>
      <c r="D73" t="s">
        <v>14</v>
      </c>
      <c r="E73" t="s">
        <v>99</v>
      </c>
      <c r="F73">
        <v>9</v>
      </c>
      <c r="G73">
        <v>927</v>
      </c>
      <c r="H73">
        <v>8343</v>
      </c>
      <c r="I73" t="s">
        <v>557</v>
      </c>
      <c r="J73" s="3">
        <v>45753</v>
      </c>
      <c r="K73" t="s">
        <v>65</v>
      </c>
    </row>
    <row r="74" spans="1:11" x14ac:dyDescent="0.25">
      <c r="A74" t="s">
        <v>193</v>
      </c>
      <c r="B74" t="s">
        <v>194</v>
      </c>
      <c r="C74" t="s">
        <v>13</v>
      </c>
      <c r="D74" t="s">
        <v>30</v>
      </c>
      <c r="E74" t="s">
        <v>34</v>
      </c>
      <c r="F74">
        <v>6</v>
      </c>
      <c r="G74">
        <v>717</v>
      </c>
      <c r="H74">
        <v>4302</v>
      </c>
      <c r="I74" t="s">
        <v>557</v>
      </c>
      <c r="J74" s="3">
        <v>45824</v>
      </c>
      <c r="K74" t="s">
        <v>35</v>
      </c>
    </row>
    <row r="75" spans="1:11" x14ac:dyDescent="0.25">
      <c r="A75" t="s">
        <v>195</v>
      </c>
      <c r="B75" t="s">
        <v>196</v>
      </c>
      <c r="C75" t="s">
        <v>26</v>
      </c>
      <c r="D75" t="s">
        <v>30</v>
      </c>
      <c r="E75" t="s">
        <v>70</v>
      </c>
      <c r="F75">
        <v>1</v>
      </c>
      <c r="G75">
        <v>106</v>
      </c>
      <c r="H75">
        <v>106</v>
      </c>
      <c r="I75" t="s">
        <v>587</v>
      </c>
      <c r="J75" s="3">
        <v>45906</v>
      </c>
      <c r="K75" t="s">
        <v>23</v>
      </c>
    </row>
    <row r="76" spans="1:11" x14ac:dyDescent="0.25">
      <c r="A76" t="s">
        <v>197</v>
      </c>
      <c r="B76" t="s">
        <v>198</v>
      </c>
      <c r="C76" t="s">
        <v>13</v>
      </c>
      <c r="D76" t="s">
        <v>44</v>
      </c>
      <c r="E76" t="s">
        <v>45</v>
      </c>
      <c r="F76">
        <v>2</v>
      </c>
      <c r="G76">
        <v>252</v>
      </c>
      <c r="H76">
        <v>504</v>
      </c>
      <c r="I76" t="s">
        <v>16</v>
      </c>
      <c r="J76" s="3">
        <v>45828</v>
      </c>
      <c r="K76" t="s">
        <v>65</v>
      </c>
    </row>
    <row r="77" spans="1:11" x14ac:dyDescent="0.25">
      <c r="A77" t="s">
        <v>199</v>
      </c>
      <c r="B77" t="s">
        <v>200</v>
      </c>
      <c r="C77" t="s">
        <v>13</v>
      </c>
      <c r="D77" t="s">
        <v>20</v>
      </c>
      <c r="E77" t="s">
        <v>88</v>
      </c>
      <c r="F77">
        <v>2</v>
      </c>
      <c r="G77">
        <v>735</v>
      </c>
      <c r="H77">
        <v>1470</v>
      </c>
      <c r="I77" t="s">
        <v>557</v>
      </c>
      <c r="J77" s="3">
        <v>45664</v>
      </c>
      <c r="K77" t="s">
        <v>79</v>
      </c>
    </row>
    <row r="78" spans="1:11" x14ac:dyDescent="0.25">
      <c r="A78" t="s">
        <v>201</v>
      </c>
      <c r="B78" t="s">
        <v>202</v>
      </c>
      <c r="C78" t="s">
        <v>13</v>
      </c>
      <c r="D78" t="s">
        <v>14</v>
      </c>
      <c r="E78" t="s">
        <v>99</v>
      </c>
      <c r="F78">
        <v>3</v>
      </c>
      <c r="G78">
        <v>829</v>
      </c>
      <c r="H78">
        <v>2487</v>
      </c>
      <c r="I78" t="s">
        <v>22</v>
      </c>
      <c r="J78" s="3">
        <v>45823</v>
      </c>
      <c r="K78" t="s">
        <v>79</v>
      </c>
    </row>
    <row r="79" spans="1:11" x14ac:dyDescent="0.25">
      <c r="A79" t="s">
        <v>203</v>
      </c>
      <c r="B79" t="s">
        <v>566</v>
      </c>
      <c r="C79" t="s">
        <v>26</v>
      </c>
      <c r="D79" t="s">
        <v>44</v>
      </c>
      <c r="E79" t="s">
        <v>56</v>
      </c>
      <c r="F79">
        <v>1</v>
      </c>
      <c r="G79">
        <v>187</v>
      </c>
      <c r="H79">
        <v>187</v>
      </c>
      <c r="I79" t="s">
        <v>16</v>
      </c>
      <c r="J79" s="3">
        <v>45722</v>
      </c>
      <c r="K79" t="s">
        <v>65</v>
      </c>
    </row>
    <row r="80" spans="1:11" x14ac:dyDescent="0.25">
      <c r="A80" t="s">
        <v>204</v>
      </c>
      <c r="B80" t="s">
        <v>205</v>
      </c>
      <c r="C80" t="s">
        <v>26</v>
      </c>
      <c r="D80" t="s">
        <v>20</v>
      </c>
      <c r="E80" t="s">
        <v>75</v>
      </c>
      <c r="F80">
        <v>1</v>
      </c>
      <c r="G80">
        <v>249</v>
      </c>
      <c r="H80">
        <v>249</v>
      </c>
      <c r="I80" t="s">
        <v>22</v>
      </c>
      <c r="J80" s="3">
        <v>45823</v>
      </c>
      <c r="K80" t="s">
        <v>79</v>
      </c>
    </row>
    <row r="81" spans="1:11" x14ac:dyDescent="0.25">
      <c r="A81" t="s">
        <v>206</v>
      </c>
      <c r="B81" t="s">
        <v>207</v>
      </c>
      <c r="C81" t="s">
        <v>26</v>
      </c>
      <c r="D81" t="s">
        <v>20</v>
      </c>
      <c r="E81" t="s">
        <v>41</v>
      </c>
      <c r="F81">
        <v>8</v>
      </c>
      <c r="G81">
        <v>59</v>
      </c>
      <c r="H81">
        <v>472</v>
      </c>
      <c r="I81" t="s">
        <v>594</v>
      </c>
      <c r="J81" s="3">
        <v>45906</v>
      </c>
      <c r="K81" t="s">
        <v>17</v>
      </c>
    </row>
    <row r="82" spans="1:11" x14ac:dyDescent="0.25">
      <c r="A82" t="s">
        <v>208</v>
      </c>
      <c r="B82" t="s">
        <v>209</v>
      </c>
      <c r="C82" t="s">
        <v>13</v>
      </c>
      <c r="D82" t="s">
        <v>30</v>
      </c>
      <c r="E82" t="s">
        <v>38</v>
      </c>
      <c r="F82">
        <v>6</v>
      </c>
      <c r="G82">
        <v>122</v>
      </c>
      <c r="H82">
        <v>732</v>
      </c>
      <c r="I82" t="s">
        <v>16</v>
      </c>
      <c r="J82" s="3">
        <v>45832</v>
      </c>
      <c r="K82" t="s">
        <v>23</v>
      </c>
    </row>
    <row r="83" spans="1:11" x14ac:dyDescent="0.25">
      <c r="A83" t="s">
        <v>210</v>
      </c>
      <c r="B83" t="s">
        <v>211</v>
      </c>
      <c r="C83" t="s">
        <v>13</v>
      </c>
      <c r="D83" t="s">
        <v>44</v>
      </c>
      <c r="E83" t="s">
        <v>170</v>
      </c>
      <c r="F83">
        <v>9</v>
      </c>
      <c r="G83">
        <v>679</v>
      </c>
      <c r="H83">
        <v>6111</v>
      </c>
      <c r="I83" t="s">
        <v>567</v>
      </c>
      <c r="J83" s="3">
        <v>45829</v>
      </c>
      <c r="K83" t="s">
        <v>79</v>
      </c>
    </row>
    <row r="84" spans="1:11" x14ac:dyDescent="0.25">
      <c r="A84" t="s">
        <v>212</v>
      </c>
      <c r="B84" t="s">
        <v>213</v>
      </c>
      <c r="C84" t="s">
        <v>13</v>
      </c>
      <c r="D84" t="s">
        <v>44</v>
      </c>
      <c r="E84" t="s">
        <v>45</v>
      </c>
      <c r="F84">
        <v>1</v>
      </c>
      <c r="G84">
        <v>253</v>
      </c>
      <c r="H84">
        <v>253</v>
      </c>
      <c r="I84" t="s">
        <v>16</v>
      </c>
      <c r="J84" s="3">
        <v>45823</v>
      </c>
      <c r="K84" t="s">
        <v>35</v>
      </c>
    </row>
    <row r="85" spans="1:11" x14ac:dyDescent="0.25">
      <c r="A85" t="s">
        <v>214</v>
      </c>
      <c r="B85" t="s">
        <v>215</v>
      </c>
      <c r="C85" t="s">
        <v>26</v>
      </c>
      <c r="D85" t="s">
        <v>30</v>
      </c>
      <c r="E85" t="s">
        <v>62</v>
      </c>
      <c r="F85">
        <v>7</v>
      </c>
      <c r="G85">
        <v>471</v>
      </c>
      <c r="H85">
        <v>3297</v>
      </c>
      <c r="I85" t="s">
        <v>16</v>
      </c>
      <c r="J85" s="3">
        <v>45837</v>
      </c>
      <c r="K85" t="s">
        <v>17</v>
      </c>
    </row>
    <row r="86" spans="1:11" x14ac:dyDescent="0.25">
      <c r="A86" t="s">
        <v>216</v>
      </c>
      <c r="B86" t="s">
        <v>217</v>
      </c>
      <c r="C86" t="s">
        <v>13</v>
      </c>
      <c r="D86" t="s">
        <v>30</v>
      </c>
      <c r="E86" t="s">
        <v>70</v>
      </c>
      <c r="F86">
        <v>5</v>
      </c>
      <c r="G86">
        <v>478</v>
      </c>
      <c r="H86">
        <v>2390</v>
      </c>
      <c r="I86" t="s">
        <v>22</v>
      </c>
      <c r="J86" s="3">
        <v>45695</v>
      </c>
      <c r="K86" t="s">
        <v>17</v>
      </c>
    </row>
    <row r="87" spans="1:11" x14ac:dyDescent="0.25">
      <c r="A87" t="s">
        <v>218</v>
      </c>
      <c r="B87" t="s">
        <v>219</v>
      </c>
      <c r="C87" t="s">
        <v>13</v>
      </c>
      <c r="D87" t="s">
        <v>20</v>
      </c>
      <c r="E87" t="s">
        <v>112</v>
      </c>
      <c r="F87">
        <v>4</v>
      </c>
      <c r="G87">
        <v>516</v>
      </c>
      <c r="H87">
        <v>2064</v>
      </c>
      <c r="I87" t="s">
        <v>16</v>
      </c>
      <c r="J87" s="3">
        <v>45997</v>
      </c>
      <c r="K87" t="s">
        <v>65</v>
      </c>
    </row>
    <row r="88" spans="1:11" x14ac:dyDescent="0.25">
      <c r="A88" t="s">
        <v>220</v>
      </c>
      <c r="B88" t="s">
        <v>221</v>
      </c>
      <c r="C88" t="s">
        <v>26</v>
      </c>
      <c r="D88" t="s">
        <v>20</v>
      </c>
      <c r="E88" t="s">
        <v>88</v>
      </c>
      <c r="F88">
        <v>1</v>
      </c>
      <c r="G88">
        <v>174</v>
      </c>
      <c r="H88">
        <v>174</v>
      </c>
      <c r="I88" t="s">
        <v>568</v>
      </c>
      <c r="J88" s="3">
        <v>45824</v>
      </c>
      <c r="K88" t="s">
        <v>23</v>
      </c>
    </row>
    <row r="89" spans="1:11" x14ac:dyDescent="0.25">
      <c r="A89" t="s">
        <v>222</v>
      </c>
      <c r="B89" t="s">
        <v>223</v>
      </c>
      <c r="C89" t="s">
        <v>569</v>
      </c>
      <c r="D89" t="s">
        <v>20</v>
      </c>
      <c r="E89" t="s">
        <v>88</v>
      </c>
      <c r="F89">
        <v>7</v>
      </c>
      <c r="G89">
        <v>392</v>
      </c>
      <c r="H89">
        <v>2744</v>
      </c>
      <c r="I89" t="s">
        <v>22</v>
      </c>
      <c r="J89" s="3">
        <v>45722</v>
      </c>
      <c r="K89" t="s">
        <v>31</v>
      </c>
    </row>
    <row r="90" spans="1:11" x14ac:dyDescent="0.25">
      <c r="A90" t="s">
        <v>224</v>
      </c>
      <c r="B90" t="s">
        <v>225</v>
      </c>
      <c r="C90" t="s">
        <v>13</v>
      </c>
      <c r="D90" t="s">
        <v>14</v>
      </c>
      <c r="E90" t="s">
        <v>48</v>
      </c>
      <c r="F90">
        <v>10</v>
      </c>
      <c r="G90">
        <v>423</v>
      </c>
      <c r="H90">
        <v>4230</v>
      </c>
      <c r="I90" t="s">
        <v>594</v>
      </c>
      <c r="J90" s="3">
        <v>45824</v>
      </c>
      <c r="K90" t="s">
        <v>17</v>
      </c>
    </row>
    <row r="91" spans="1:11" x14ac:dyDescent="0.25">
      <c r="A91" t="s">
        <v>226</v>
      </c>
      <c r="B91" t="s">
        <v>550</v>
      </c>
      <c r="C91" t="s">
        <v>13</v>
      </c>
      <c r="D91" t="s">
        <v>30</v>
      </c>
      <c r="E91" t="s">
        <v>70</v>
      </c>
      <c r="F91">
        <v>3</v>
      </c>
      <c r="G91">
        <v>843</v>
      </c>
      <c r="H91">
        <v>2529</v>
      </c>
      <c r="I91" t="s">
        <v>22</v>
      </c>
      <c r="J91" s="3">
        <v>45826</v>
      </c>
      <c r="K91" t="s">
        <v>23</v>
      </c>
    </row>
    <row r="92" spans="1:11" x14ac:dyDescent="0.25">
      <c r="A92" t="s">
        <v>227</v>
      </c>
      <c r="B92" t="s">
        <v>228</v>
      </c>
      <c r="C92" t="s">
        <v>26</v>
      </c>
      <c r="D92" t="s">
        <v>44</v>
      </c>
      <c r="E92" t="s">
        <v>125</v>
      </c>
      <c r="F92">
        <v>4</v>
      </c>
      <c r="G92">
        <v>433</v>
      </c>
      <c r="H92">
        <v>1732</v>
      </c>
      <c r="I92" t="s">
        <v>568</v>
      </c>
      <c r="J92" s="3">
        <v>45906</v>
      </c>
      <c r="K92" t="s">
        <v>31</v>
      </c>
    </row>
    <row r="93" spans="1:11" x14ac:dyDescent="0.25">
      <c r="A93" t="s">
        <v>229</v>
      </c>
      <c r="B93" t="s">
        <v>230</v>
      </c>
      <c r="C93" t="s">
        <v>26</v>
      </c>
      <c r="D93" t="s">
        <v>30</v>
      </c>
      <c r="E93" t="s">
        <v>143</v>
      </c>
      <c r="F93">
        <v>4</v>
      </c>
      <c r="G93">
        <v>157</v>
      </c>
      <c r="H93">
        <v>628</v>
      </c>
      <c r="I93" t="s">
        <v>594</v>
      </c>
      <c r="J93" s="3">
        <v>45818</v>
      </c>
      <c r="K93" t="s">
        <v>65</v>
      </c>
    </row>
    <row r="94" spans="1:11" x14ac:dyDescent="0.25">
      <c r="A94" t="s">
        <v>232</v>
      </c>
      <c r="B94" t="s">
        <v>233</v>
      </c>
      <c r="C94" t="s">
        <v>13</v>
      </c>
      <c r="D94" t="s">
        <v>44</v>
      </c>
      <c r="E94" t="s">
        <v>175</v>
      </c>
      <c r="F94">
        <v>3</v>
      </c>
      <c r="G94">
        <v>910</v>
      </c>
      <c r="H94">
        <v>2730</v>
      </c>
      <c r="I94" t="s">
        <v>557</v>
      </c>
      <c r="J94" s="3">
        <v>45835</v>
      </c>
      <c r="K94" t="s">
        <v>65</v>
      </c>
    </row>
    <row r="95" spans="1:11" x14ac:dyDescent="0.25">
      <c r="A95" t="s">
        <v>234</v>
      </c>
      <c r="B95" t="s">
        <v>235</v>
      </c>
      <c r="C95" t="s">
        <v>26</v>
      </c>
      <c r="D95" t="s">
        <v>44</v>
      </c>
      <c r="E95" t="s">
        <v>56</v>
      </c>
      <c r="F95">
        <v>2</v>
      </c>
      <c r="G95">
        <v>958</v>
      </c>
      <c r="H95">
        <v>1916</v>
      </c>
      <c r="I95" t="s">
        <v>22</v>
      </c>
      <c r="J95" s="3">
        <v>45824</v>
      </c>
      <c r="K95" t="s">
        <v>31</v>
      </c>
    </row>
    <row r="96" spans="1:11" x14ac:dyDescent="0.25">
      <c r="A96" t="s">
        <v>236</v>
      </c>
      <c r="B96" t="s">
        <v>237</v>
      </c>
      <c r="C96" t="s">
        <v>13</v>
      </c>
      <c r="D96" t="s">
        <v>44</v>
      </c>
      <c r="E96" t="s">
        <v>175</v>
      </c>
      <c r="F96">
        <v>10</v>
      </c>
      <c r="G96">
        <v>975</v>
      </c>
      <c r="H96">
        <v>9750</v>
      </c>
      <c r="I96" t="s">
        <v>22</v>
      </c>
      <c r="J96" s="3">
        <v>45836</v>
      </c>
      <c r="K96" t="s">
        <v>17</v>
      </c>
    </row>
    <row r="97" spans="1:11" x14ac:dyDescent="0.25">
      <c r="A97" t="s">
        <v>238</v>
      </c>
      <c r="B97" t="s">
        <v>239</v>
      </c>
      <c r="C97" t="s">
        <v>26</v>
      </c>
      <c r="D97" t="s">
        <v>44</v>
      </c>
      <c r="E97" t="s">
        <v>56</v>
      </c>
      <c r="F97">
        <v>8</v>
      </c>
      <c r="G97">
        <v>988</v>
      </c>
      <c r="H97">
        <v>7904</v>
      </c>
      <c r="I97" t="s">
        <v>594</v>
      </c>
      <c r="J97" s="3">
        <v>45967</v>
      </c>
      <c r="K97" t="s">
        <v>17</v>
      </c>
    </row>
    <row r="98" spans="1:11" x14ac:dyDescent="0.25">
      <c r="A98" t="s">
        <v>240</v>
      </c>
      <c r="B98" t="s">
        <v>241</v>
      </c>
      <c r="C98" t="s">
        <v>13</v>
      </c>
      <c r="D98" t="s">
        <v>20</v>
      </c>
      <c r="E98" t="s">
        <v>21</v>
      </c>
      <c r="F98">
        <v>5</v>
      </c>
      <c r="G98">
        <v>850</v>
      </c>
      <c r="H98">
        <v>4250</v>
      </c>
      <c r="I98" t="s">
        <v>557</v>
      </c>
      <c r="J98" s="3">
        <v>45695</v>
      </c>
      <c r="K98" t="s">
        <v>35</v>
      </c>
    </row>
    <row r="99" spans="1:11" x14ac:dyDescent="0.25">
      <c r="A99" t="s">
        <v>243</v>
      </c>
      <c r="B99" t="s">
        <v>244</v>
      </c>
      <c r="C99" t="s">
        <v>26</v>
      </c>
      <c r="D99" t="s">
        <v>30</v>
      </c>
      <c r="E99" t="s">
        <v>38</v>
      </c>
      <c r="F99">
        <v>6</v>
      </c>
      <c r="G99">
        <v>739</v>
      </c>
      <c r="H99">
        <v>4434</v>
      </c>
      <c r="I99" t="s">
        <v>587</v>
      </c>
      <c r="J99" s="3">
        <v>45722</v>
      </c>
      <c r="K99" t="s">
        <v>35</v>
      </c>
    </row>
    <row r="100" spans="1:11" x14ac:dyDescent="0.25">
      <c r="A100" t="s">
        <v>245</v>
      </c>
      <c r="B100" t="s">
        <v>246</v>
      </c>
      <c r="C100" t="s">
        <v>26</v>
      </c>
      <c r="D100" t="s">
        <v>20</v>
      </c>
      <c r="E100" t="s">
        <v>75</v>
      </c>
      <c r="F100">
        <v>7</v>
      </c>
      <c r="G100">
        <v>241</v>
      </c>
      <c r="H100">
        <v>1687</v>
      </c>
      <c r="I100" t="s">
        <v>16</v>
      </c>
      <c r="J100" s="3">
        <v>45828</v>
      </c>
      <c r="K100" t="s">
        <v>79</v>
      </c>
    </row>
    <row r="101" spans="1:11" x14ac:dyDescent="0.25">
      <c r="A101" t="s">
        <v>247</v>
      </c>
      <c r="B101" t="s">
        <v>248</v>
      </c>
      <c r="C101" t="s">
        <v>13</v>
      </c>
      <c r="D101" t="s">
        <v>20</v>
      </c>
      <c r="E101" t="s">
        <v>75</v>
      </c>
      <c r="F101">
        <v>3</v>
      </c>
      <c r="G101">
        <v>727</v>
      </c>
      <c r="H101">
        <v>2181</v>
      </c>
      <c r="I101" t="s">
        <v>594</v>
      </c>
      <c r="J101" s="3">
        <v>45906</v>
      </c>
      <c r="K101" t="s">
        <v>79</v>
      </c>
    </row>
    <row r="102" spans="1:11" x14ac:dyDescent="0.25">
      <c r="A102" t="s">
        <v>249</v>
      </c>
      <c r="B102" t="s">
        <v>551</v>
      </c>
      <c r="C102" t="s">
        <v>26</v>
      </c>
      <c r="D102" t="s">
        <v>20</v>
      </c>
      <c r="E102" t="s">
        <v>112</v>
      </c>
      <c r="F102">
        <v>9</v>
      </c>
      <c r="G102">
        <v>826</v>
      </c>
      <c r="H102">
        <v>7434</v>
      </c>
      <c r="I102" t="s">
        <v>567</v>
      </c>
      <c r="J102" s="3">
        <v>45830</v>
      </c>
      <c r="K102" t="s">
        <v>35</v>
      </c>
    </row>
    <row r="103" spans="1:11" x14ac:dyDescent="0.25">
      <c r="A103" t="s">
        <v>250</v>
      </c>
      <c r="B103" t="s">
        <v>251</v>
      </c>
      <c r="C103" t="s">
        <v>26</v>
      </c>
      <c r="D103" t="s">
        <v>30</v>
      </c>
      <c r="E103" t="s">
        <v>34</v>
      </c>
      <c r="F103">
        <v>9</v>
      </c>
      <c r="G103">
        <v>53</v>
      </c>
      <c r="H103">
        <v>477</v>
      </c>
      <c r="I103" t="s">
        <v>557</v>
      </c>
      <c r="J103" s="3">
        <v>45695</v>
      </c>
      <c r="K103" t="s">
        <v>23</v>
      </c>
    </row>
    <row r="104" spans="1:11" x14ac:dyDescent="0.25">
      <c r="A104" t="s">
        <v>252</v>
      </c>
      <c r="B104" t="s">
        <v>253</v>
      </c>
      <c r="C104" t="s">
        <v>13</v>
      </c>
      <c r="D104" t="s">
        <v>14</v>
      </c>
      <c r="E104" t="s">
        <v>15</v>
      </c>
      <c r="F104">
        <v>3</v>
      </c>
      <c r="G104">
        <v>272</v>
      </c>
      <c r="H104">
        <v>816</v>
      </c>
      <c r="I104" t="s">
        <v>557</v>
      </c>
      <c r="J104" s="3">
        <v>45722</v>
      </c>
      <c r="K104" t="s">
        <v>17</v>
      </c>
    </row>
    <row r="105" spans="1:11" x14ac:dyDescent="0.25">
      <c r="A105" t="s">
        <v>254</v>
      </c>
      <c r="B105" t="s">
        <v>255</v>
      </c>
      <c r="C105" t="s">
        <v>26</v>
      </c>
      <c r="D105" t="s">
        <v>44</v>
      </c>
      <c r="E105" t="s">
        <v>170</v>
      </c>
      <c r="F105">
        <v>8</v>
      </c>
      <c r="G105">
        <v>814</v>
      </c>
      <c r="H105">
        <v>6512</v>
      </c>
      <c r="I105" t="s">
        <v>594</v>
      </c>
      <c r="J105" s="3">
        <v>45820</v>
      </c>
      <c r="K105" t="s">
        <v>23</v>
      </c>
    </row>
    <row r="106" spans="1:11" x14ac:dyDescent="0.25">
      <c r="A106" t="s">
        <v>257</v>
      </c>
      <c r="B106" t="s">
        <v>258</v>
      </c>
      <c r="C106" t="s">
        <v>13</v>
      </c>
      <c r="D106" t="s">
        <v>20</v>
      </c>
      <c r="E106" t="s">
        <v>75</v>
      </c>
      <c r="F106">
        <v>8</v>
      </c>
      <c r="G106">
        <v>685</v>
      </c>
      <c r="H106">
        <v>6216</v>
      </c>
      <c r="I106" t="s">
        <v>22</v>
      </c>
      <c r="J106" s="3">
        <v>45833</v>
      </c>
      <c r="K106" t="s">
        <v>31</v>
      </c>
    </row>
    <row r="107" spans="1:11" x14ac:dyDescent="0.25">
      <c r="A107" t="s">
        <v>261</v>
      </c>
      <c r="B107" t="s">
        <v>262</v>
      </c>
      <c r="C107" t="s">
        <v>26</v>
      </c>
      <c r="D107" t="s">
        <v>20</v>
      </c>
      <c r="E107" t="s">
        <v>21</v>
      </c>
      <c r="F107">
        <v>1</v>
      </c>
      <c r="G107">
        <v>27300</v>
      </c>
      <c r="H107">
        <v>546</v>
      </c>
      <c r="I107" t="s">
        <v>16</v>
      </c>
      <c r="J107" s="3">
        <v>45831</v>
      </c>
      <c r="K107" t="s">
        <v>65</v>
      </c>
    </row>
    <row r="108" spans="1:11" x14ac:dyDescent="0.25">
      <c r="A108" t="s">
        <v>263</v>
      </c>
      <c r="B108" t="s">
        <v>264</v>
      </c>
      <c r="C108" t="s">
        <v>26</v>
      </c>
      <c r="D108" t="s">
        <v>20</v>
      </c>
      <c r="E108" t="s">
        <v>41</v>
      </c>
      <c r="F108">
        <v>2</v>
      </c>
      <c r="G108">
        <v>721</v>
      </c>
      <c r="H108">
        <v>1442</v>
      </c>
      <c r="I108" t="s">
        <v>22</v>
      </c>
      <c r="J108" s="3">
        <v>45783</v>
      </c>
      <c r="K108" t="s">
        <v>587</v>
      </c>
    </row>
    <row r="109" spans="1:11" x14ac:dyDescent="0.25">
      <c r="A109" t="s">
        <v>265</v>
      </c>
      <c r="B109" t="s">
        <v>266</v>
      </c>
      <c r="C109" t="s">
        <v>13</v>
      </c>
      <c r="D109" t="s">
        <v>20</v>
      </c>
      <c r="E109" t="s">
        <v>21</v>
      </c>
      <c r="F109">
        <v>5</v>
      </c>
      <c r="G109">
        <v>812</v>
      </c>
      <c r="H109">
        <v>4060</v>
      </c>
      <c r="I109" t="s">
        <v>594</v>
      </c>
      <c r="J109" s="3">
        <v>45664</v>
      </c>
      <c r="K109" t="s">
        <v>17</v>
      </c>
    </row>
    <row r="110" spans="1:11" x14ac:dyDescent="0.25">
      <c r="A110" t="s">
        <v>267</v>
      </c>
      <c r="B110" t="s">
        <v>268</v>
      </c>
      <c r="C110" t="s">
        <v>26</v>
      </c>
      <c r="D110" t="s">
        <v>30</v>
      </c>
      <c r="E110" t="s">
        <v>34</v>
      </c>
      <c r="F110">
        <v>8</v>
      </c>
      <c r="G110">
        <v>335</v>
      </c>
      <c r="H110">
        <v>2680</v>
      </c>
      <c r="I110" t="s">
        <v>16</v>
      </c>
      <c r="J110" s="3">
        <v>45664</v>
      </c>
      <c r="K110" t="s">
        <v>65</v>
      </c>
    </row>
    <row r="111" spans="1:11" x14ac:dyDescent="0.25">
      <c r="A111" t="s">
        <v>269</v>
      </c>
      <c r="B111" t="s">
        <v>270</v>
      </c>
      <c r="C111" t="s">
        <v>13</v>
      </c>
      <c r="D111" t="s">
        <v>14</v>
      </c>
      <c r="E111" t="s">
        <v>78</v>
      </c>
      <c r="F111">
        <v>7</v>
      </c>
      <c r="G111">
        <v>756</v>
      </c>
      <c r="H111">
        <v>5292</v>
      </c>
      <c r="I111" t="s">
        <v>557</v>
      </c>
      <c r="J111" s="3">
        <v>45827</v>
      </c>
      <c r="K111" t="s">
        <v>79</v>
      </c>
    </row>
    <row r="112" spans="1:11" x14ac:dyDescent="0.25">
      <c r="A112" t="s">
        <v>271</v>
      </c>
      <c r="B112" t="s">
        <v>272</v>
      </c>
      <c r="C112" t="s">
        <v>13</v>
      </c>
      <c r="D112" t="s">
        <v>44</v>
      </c>
      <c r="E112" t="s">
        <v>56</v>
      </c>
      <c r="F112">
        <v>8</v>
      </c>
      <c r="G112">
        <v>693</v>
      </c>
      <c r="H112">
        <v>5544</v>
      </c>
      <c r="I112" t="s">
        <v>557</v>
      </c>
      <c r="J112" s="3">
        <v>45875</v>
      </c>
      <c r="K112" t="s">
        <v>79</v>
      </c>
    </row>
    <row r="113" spans="1:11" x14ac:dyDescent="0.25">
      <c r="A113" t="s">
        <v>273</v>
      </c>
      <c r="B113" t="s">
        <v>274</v>
      </c>
      <c r="C113" t="s">
        <v>26</v>
      </c>
      <c r="D113" t="s">
        <v>20</v>
      </c>
      <c r="E113" t="s">
        <v>88</v>
      </c>
      <c r="F113">
        <v>10</v>
      </c>
      <c r="G113">
        <v>981</v>
      </c>
      <c r="H113">
        <v>9810</v>
      </c>
      <c r="I113" t="s">
        <v>16</v>
      </c>
      <c r="J113" s="3">
        <v>45753</v>
      </c>
      <c r="K113" t="s">
        <v>23</v>
      </c>
    </row>
    <row r="114" spans="1:11" x14ac:dyDescent="0.25">
      <c r="A114" t="s">
        <v>275</v>
      </c>
      <c r="B114" t="s">
        <v>276</v>
      </c>
      <c r="C114" t="s">
        <v>26</v>
      </c>
      <c r="D114" t="s">
        <v>14</v>
      </c>
      <c r="E114" t="s">
        <v>48</v>
      </c>
      <c r="F114">
        <v>140</v>
      </c>
      <c r="G114">
        <v>718</v>
      </c>
      <c r="H114">
        <v>5026</v>
      </c>
      <c r="I114" t="s">
        <v>594</v>
      </c>
      <c r="J114" s="3">
        <v>45722</v>
      </c>
      <c r="K114" t="s">
        <v>65</v>
      </c>
    </row>
    <row r="115" spans="1:11" x14ac:dyDescent="0.25">
      <c r="A115" t="s">
        <v>277</v>
      </c>
      <c r="B115" t="s">
        <v>278</v>
      </c>
      <c r="C115" t="s">
        <v>26</v>
      </c>
      <c r="D115" t="s">
        <v>44</v>
      </c>
      <c r="E115" t="s">
        <v>170</v>
      </c>
      <c r="F115">
        <v>6</v>
      </c>
      <c r="G115">
        <v>946</v>
      </c>
      <c r="H115">
        <v>5676</v>
      </c>
      <c r="I115" t="s">
        <v>16</v>
      </c>
      <c r="J115" s="3">
        <v>45967</v>
      </c>
      <c r="K115" t="s">
        <v>17</v>
      </c>
    </row>
    <row r="116" spans="1:11" x14ac:dyDescent="0.25">
      <c r="A116" t="s">
        <v>279</v>
      </c>
      <c r="B116" t="s">
        <v>280</v>
      </c>
      <c r="C116" t="s">
        <v>13</v>
      </c>
      <c r="D116" t="s">
        <v>44</v>
      </c>
      <c r="E116" t="s">
        <v>170</v>
      </c>
      <c r="F116">
        <v>8</v>
      </c>
      <c r="G116">
        <v>681</v>
      </c>
      <c r="H116">
        <v>5448</v>
      </c>
      <c r="I116" t="s">
        <v>22</v>
      </c>
      <c r="J116" s="3">
        <v>45832</v>
      </c>
      <c r="K116" t="s">
        <v>17</v>
      </c>
    </row>
    <row r="117" spans="1:11" x14ac:dyDescent="0.25">
      <c r="A117" t="s">
        <v>281</v>
      </c>
      <c r="B117" t="s">
        <v>282</v>
      </c>
      <c r="C117" t="s">
        <v>26</v>
      </c>
      <c r="D117" t="s">
        <v>44</v>
      </c>
      <c r="E117" t="s">
        <v>175</v>
      </c>
      <c r="F117">
        <v>5</v>
      </c>
      <c r="G117">
        <v>278</v>
      </c>
      <c r="H117">
        <v>1390</v>
      </c>
      <c r="I117" t="s">
        <v>22</v>
      </c>
      <c r="J117" s="3">
        <v>45823</v>
      </c>
      <c r="K117" t="s">
        <v>23</v>
      </c>
    </row>
    <row r="118" spans="1:11" x14ac:dyDescent="0.25">
      <c r="A118" t="s">
        <v>284</v>
      </c>
      <c r="B118" t="s">
        <v>285</v>
      </c>
      <c r="C118" t="s">
        <v>13</v>
      </c>
      <c r="D118" t="s">
        <v>14</v>
      </c>
      <c r="E118" t="s">
        <v>48</v>
      </c>
      <c r="F118">
        <v>4</v>
      </c>
      <c r="G118">
        <v>931</v>
      </c>
      <c r="H118">
        <v>3724</v>
      </c>
      <c r="I118" t="s">
        <v>22</v>
      </c>
      <c r="J118" s="3">
        <v>45814</v>
      </c>
      <c r="K118" t="s">
        <v>23</v>
      </c>
    </row>
    <row r="119" spans="1:11" x14ac:dyDescent="0.25">
      <c r="A119" t="s">
        <v>286</v>
      </c>
      <c r="B119" t="s">
        <v>287</v>
      </c>
      <c r="C119" t="s">
        <v>13</v>
      </c>
      <c r="D119" t="s">
        <v>30</v>
      </c>
      <c r="E119" t="s">
        <v>34</v>
      </c>
      <c r="F119">
        <v>10</v>
      </c>
      <c r="G119">
        <v>957</v>
      </c>
      <c r="H119">
        <v>9570</v>
      </c>
      <c r="I119" t="s">
        <v>594</v>
      </c>
      <c r="J119" s="3">
        <v>45722</v>
      </c>
      <c r="K119" t="s">
        <v>79</v>
      </c>
    </row>
    <row r="120" spans="1:11" x14ac:dyDescent="0.25">
      <c r="A120" t="s">
        <v>288</v>
      </c>
      <c r="B120" t="s">
        <v>289</v>
      </c>
      <c r="C120" t="s">
        <v>26</v>
      </c>
      <c r="D120" t="s">
        <v>30</v>
      </c>
      <c r="E120" t="s">
        <v>38</v>
      </c>
      <c r="F120">
        <v>7</v>
      </c>
      <c r="G120">
        <v>905</v>
      </c>
      <c r="H120">
        <v>6335</v>
      </c>
      <c r="I120" t="s">
        <v>557</v>
      </c>
      <c r="J120" s="3">
        <v>45695</v>
      </c>
      <c r="K120" t="s">
        <v>23</v>
      </c>
    </row>
    <row r="121" spans="1:11" x14ac:dyDescent="0.25">
      <c r="A121" t="s">
        <v>290</v>
      </c>
      <c r="B121" t="s">
        <v>552</v>
      </c>
      <c r="C121" t="s">
        <v>13</v>
      </c>
      <c r="D121" t="s">
        <v>20</v>
      </c>
      <c r="E121" t="s">
        <v>88</v>
      </c>
      <c r="F121">
        <v>1</v>
      </c>
      <c r="G121">
        <v>660</v>
      </c>
      <c r="H121">
        <v>660</v>
      </c>
      <c r="I121" t="s">
        <v>557</v>
      </c>
      <c r="J121" s="3">
        <v>45833</v>
      </c>
      <c r="K121" t="s">
        <v>79</v>
      </c>
    </row>
    <row r="122" spans="1:11" x14ac:dyDescent="0.25">
      <c r="A122" t="s">
        <v>291</v>
      </c>
      <c r="B122" t="s">
        <v>292</v>
      </c>
      <c r="C122" t="s">
        <v>13</v>
      </c>
      <c r="D122" t="s">
        <v>14</v>
      </c>
      <c r="E122" t="s">
        <v>48</v>
      </c>
      <c r="F122">
        <v>4</v>
      </c>
      <c r="G122">
        <v>986</v>
      </c>
      <c r="H122">
        <v>3944</v>
      </c>
      <c r="I122" t="s">
        <v>16</v>
      </c>
      <c r="J122" s="3">
        <v>45826</v>
      </c>
      <c r="K122" t="s">
        <v>587</v>
      </c>
    </row>
    <row r="123" spans="1:11" x14ac:dyDescent="0.25">
      <c r="A123" t="s">
        <v>294</v>
      </c>
      <c r="B123" t="s">
        <v>295</v>
      </c>
      <c r="C123" t="s">
        <v>26</v>
      </c>
      <c r="D123" t="s">
        <v>20</v>
      </c>
      <c r="E123" t="s">
        <v>21</v>
      </c>
      <c r="F123">
        <v>2</v>
      </c>
      <c r="G123">
        <v>435</v>
      </c>
      <c r="H123">
        <v>870</v>
      </c>
      <c r="I123" t="s">
        <v>557</v>
      </c>
      <c r="J123" s="3">
        <v>45753</v>
      </c>
      <c r="K123" t="s">
        <v>31</v>
      </c>
    </row>
    <row r="124" spans="1:11" x14ac:dyDescent="0.25">
      <c r="A124" t="s">
        <v>296</v>
      </c>
      <c r="B124" t="s">
        <v>297</v>
      </c>
      <c r="C124" t="s">
        <v>13</v>
      </c>
      <c r="D124" t="s">
        <v>14</v>
      </c>
      <c r="E124" t="s">
        <v>99</v>
      </c>
      <c r="F124">
        <v>9</v>
      </c>
      <c r="G124">
        <v>252</v>
      </c>
      <c r="H124">
        <v>2268</v>
      </c>
      <c r="I124" t="s">
        <v>16</v>
      </c>
      <c r="J124" s="3">
        <v>45829</v>
      </c>
      <c r="K124" t="s">
        <v>35</v>
      </c>
    </row>
    <row r="125" spans="1:11" x14ac:dyDescent="0.25">
      <c r="A125" t="s">
        <v>298</v>
      </c>
      <c r="B125" t="s">
        <v>299</v>
      </c>
      <c r="C125" t="s">
        <v>26</v>
      </c>
      <c r="D125" t="s">
        <v>14</v>
      </c>
      <c r="E125" t="s">
        <v>109</v>
      </c>
      <c r="F125">
        <v>5</v>
      </c>
      <c r="G125">
        <v>136</v>
      </c>
      <c r="H125">
        <v>680</v>
      </c>
      <c r="I125" t="s">
        <v>22</v>
      </c>
      <c r="J125" s="3">
        <v>45825</v>
      </c>
      <c r="K125" t="s">
        <v>23</v>
      </c>
    </row>
    <row r="126" spans="1:11" x14ac:dyDescent="0.25">
      <c r="A126" t="s">
        <v>300</v>
      </c>
      <c r="B126" t="s">
        <v>301</v>
      </c>
      <c r="C126" t="s">
        <v>26</v>
      </c>
      <c r="D126" t="s">
        <v>44</v>
      </c>
      <c r="E126" t="s">
        <v>175</v>
      </c>
      <c r="F126">
        <v>2</v>
      </c>
      <c r="G126">
        <v>716</v>
      </c>
      <c r="H126">
        <v>1432</v>
      </c>
      <c r="I126" t="s">
        <v>16</v>
      </c>
      <c r="J126" s="3">
        <v>45829</v>
      </c>
      <c r="K126" t="s">
        <v>79</v>
      </c>
    </row>
    <row r="127" spans="1:11" x14ac:dyDescent="0.25">
      <c r="A127" t="s">
        <v>302</v>
      </c>
      <c r="B127" t="s">
        <v>303</v>
      </c>
      <c r="C127" t="s">
        <v>26</v>
      </c>
      <c r="D127" t="s">
        <v>20</v>
      </c>
      <c r="E127" t="s">
        <v>75</v>
      </c>
      <c r="F127">
        <v>7</v>
      </c>
      <c r="G127">
        <v>846</v>
      </c>
      <c r="H127">
        <v>5922</v>
      </c>
      <c r="I127" t="s">
        <v>22</v>
      </c>
      <c r="J127" s="3">
        <v>45821</v>
      </c>
      <c r="K127" t="s">
        <v>17</v>
      </c>
    </row>
    <row r="128" spans="1:11" x14ac:dyDescent="0.25">
      <c r="A128" t="s">
        <v>305</v>
      </c>
      <c r="B128" t="s">
        <v>306</v>
      </c>
      <c r="C128" t="s">
        <v>13</v>
      </c>
      <c r="D128" t="s">
        <v>30</v>
      </c>
      <c r="E128" t="s">
        <v>62</v>
      </c>
      <c r="F128">
        <v>7</v>
      </c>
      <c r="G128">
        <v>848</v>
      </c>
      <c r="H128">
        <v>5936</v>
      </c>
      <c r="I128" t="s">
        <v>16</v>
      </c>
      <c r="J128" s="3">
        <v>45813</v>
      </c>
      <c r="K128" t="s">
        <v>79</v>
      </c>
    </row>
    <row r="129" spans="1:11" x14ac:dyDescent="0.25">
      <c r="A129" t="s">
        <v>308</v>
      </c>
      <c r="B129" t="s">
        <v>309</v>
      </c>
      <c r="C129" t="s">
        <v>13</v>
      </c>
      <c r="D129" t="s">
        <v>30</v>
      </c>
      <c r="E129" t="s">
        <v>38</v>
      </c>
      <c r="F129">
        <v>9</v>
      </c>
      <c r="G129">
        <v>578</v>
      </c>
      <c r="H129">
        <v>5202</v>
      </c>
      <c r="I129" t="s">
        <v>22</v>
      </c>
      <c r="J129" s="3">
        <v>45828</v>
      </c>
      <c r="K129" t="s">
        <v>65</v>
      </c>
    </row>
    <row r="130" spans="1:11" x14ac:dyDescent="0.25">
      <c r="A130" t="s">
        <v>310</v>
      </c>
      <c r="B130" t="s">
        <v>311</v>
      </c>
      <c r="C130" t="s">
        <v>26</v>
      </c>
      <c r="D130" t="s">
        <v>20</v>
      </c>
      <c r="E130" t="s">
        <v>21</v>
      </c>
      <c r="F130">
        <v>8</v>
      </c>
      <c r="G130">
        <v>657</v>
      </c>
      <c r="H130">
        <v>5256</v>
      </c>
      <c r="I130" t="s">
        <v>22</v>
      </c>
      <c r="J130" s="3">
        <v>45826</v>
      </c>
      <c r="K130" t="s">
        <v>23</v>
      </c>
    </row>
    <row r="131" spans="1:11" x14ac:dyDescent="0.25">
      <c r="A131" t="s">
        <v>312</v>
      </c>
      <c r="B131" t="s">
        <v>313</v>
      </c>
      <c r="C131" t="s">
        <v>13</v>
      </c>
      <c r="D131" t="s">
        <v>14</v>
      </c>
      <c r="E131" t="s">
        <v>99</v>
      </c>
      <c r="F131">
        <v>3</v>
      </c>
      <c r="G131">
        <v>943</v>
      </c>
      <c r="H131">
        <v>2829</v>
      </c>
      <c r="I131" t="s">
        <v>16</v>
      </c>
      <c r="J131" s="3">
        <v>45834</v>
      </c>
      <c r="K131" t="s">
        <v>31</v>
      </c>
    </row>
    <row r="132" spans="1:11" x14ac:dyDescent="0.25">
      <c r="A132" t="s">
        <v>314</v>
      </c>
      <c r="B132" t="s">
        <v>315</v>
      </c>
      <c r="C132" t="s">
        <v>13</v>
      </c>
      <c r="D132" t="s">
        <v>44</v>
      </c>
      <c r="E132" t="s">
        <v>125</v>
      </c>
      <c r="F132">
        <v>2</v>
      </c>
      <c r="G132">
        <v>845</v>
      </c>
      <c r="H132">
        <v>1690</v>
      </c>
      <c r="I132" t="s">
        <v>557</v>
      </c>
      <c r="J132" s="3">
        <v>45823</v>
      </c>
      <c r="K132" t="s">
        <v>79</v>
      </c>
    </row>
    <row r="133" spans="1:11" x14ac:dyDescent="0.25">
      <c r="A133" t="s">
        <v>316</v>
      </c>
      <c r="B133" t="s">
        <v>317</v>
      </c>
      <c r="C133" t="s">
        <v>13</v>
      </c>
      <c r="D133" t="s">
        <v>30</v>
      </c>
      <c r="E133" t="s">
        <v>34</v>
      </c>
      <c r="F133">
        <v>10</v>
      </c>
      <c r="G133">
        <v>622</v>
      </c>
      <c r="H133">
        <v>6220</v>
      </c>
      <c r="I133" t="s">
        <v>22</v>
      </c>
      <c r="J133" s="3">
        <v>45936</v>
      </c>
      <c r="K133" t="s">
        <v>79</v>
      </c>
    </row>
    <row r="134" spans="1:11" x14ac:dyDescent="0.25">
      <c r="A134" t="s">
        <v>318</v>
      </c>
      <c r="B134" t="s">
        <v>319</v>
      </c>
      <c r="C134" t="s">
        <v>13</v>
      </c>
      <c r="D134" t="s">
        <v>44</v>
      </c>
      <c r="E134" t="s">
        <v>170</v>
      </c>
      <c r="F134">
        <v>10</v>
      </c>
      <c r="G134">
        <v>210</v>
      </c>
      <c r="H134">
        <v>2100</v>
      </c>
      <c r="I134" t="s">
        <v>16</v>
      </c>
      <c r="J134" s="3">
        <v>45832</v>
      </c>
      <c r="K134" t="s">
        <v>79</v>
      </c>
    </row>
    <row r="135" spans="1:11" x14ac:dyDescent="0.25">
      <c r="A135" t="s">
        <v>320</v>
      </c>
      <c r="B135" t="s">
        <v>321</v>
      </c>
      <c r="C135" t="s">
        <v>26</v>
      </c>
      <c r="D135" t="s">
        <v>30</v>
      </c>
      <c r="E135" t="s">
        <v>62</v>
      </c>
      <c r="F135">
        <v>2</v>
      </c>
      <c r="G135">
        <v>908</v>
      </c>
      <c r="H135">
        <f>F135*G135</f>
        <v>1816</v>
      </c>
      <c r="I135" t="s">
        <v>594</v>
      </c>
      <c r="J135" s="3">
        <v>45936</v>
      </c>
      <c r="K135" t="s">
        <v>35</v>
      </c>
    </row>
    <row r="136" spans="1:11" x14ac:dyDescent="0.25">
      <c r="A136" t="s">
        <v>322</v>
      </c>
      <c r="B136" t="s">
        <v>323</v>
      </c>
      <c r="C136" t="s">
        <v>26</v>
      </c>
      <c r="D136" t="s">
        <v>30</v>
      </c>
      <c r="E136" t="s">
        <v>70</v>
      </c>
      <c r="F136">
        <v>1</v>
      </c>
      <c r="G136">
        <v>128</v>
      </c>
      <c r="H136">
        <v>128</v>
      </c>
      <c r="I136" t="s">
        <v>594</v>
      </c>
      <c r="J136" s="3">
        <v>45906</v>
      </c>
      <c r="K136" t="s">
        <v>23</v>
      </c>
    </row>
    <row r="137" spans="1:11" x14ac:dyDescent="0.25">
      <c r="A137" t="s">
        <v>325</v>
      </c>
      <c r="B137" t="s">
        <v>326</v>
      </c>
      <c r="C137" t="s">
        <v>13</v>
      </c>
      <c r="D137" t="s">
        <v>44</v>
      </c>
      <c r="E137" t="s">
        <v>56</v>
      </c>
      <c r="F137">
        <v>10</v>
      </c>
      <c r="G137">
        <v>908</v>
      </c>
      <c r="H137">
        <v>9080</v>
      </c>
      <c r="I137" t="s">
        <v>22</v>
      </c>
      <c r="J137" s="3">
        <v>45831</v>
      </c>
      <c r="K137" t="s">
        <v>35</v>
      </c>
    </row>
    <row r="138" spans="1:11" x14ac:dyDescent="0.25">
      <c r="A138" t="s">
        <v>327</v>
      </c>
      <c r="B138" t="s">
        <v>328</v>
      </c>
      <c r="C138" t="s">
        <v>13</v>
      </c>
      <c r="D138" t="s">
        <v>20</v>
      </c>
      <c r="E138" t="s">
        <v>88</v>
      </c>
      <c r="F138">
        <v>4</v>
      </c>
      <c r="G138">
        <v>663</v>
      </c>
      <c r="H138">
        <v>2652</v>
      </c>
      <c r="I138" t="s">
        <v>22</v>
      </c>
      <c r="J138" s="3">
        <v>45836</v>
      </c>
      <c r="K138" t="s">
        <v>79</v>
      </c>
    </row>
    <row r="139" spans="1:11" x14ac:dyDescent="0.25">
      <c r="A139" t="s">
        <v>329</v>
      </c>
      <c r="B139" t="s">
        <v>330</v>
      </c>
      <c r="C139" t="s">
        <v>13</v>
      </c>
      <c r="D139" t="s">
        <v>20</v>
      </c>
      <c r="E139" t="s">
        <v>112</v>
      </c>
      <c r="F139">
        <v>6</v>
      </c>
      <c r="G139">
        <v>321</v>
      </c>
      <c r="H139">
        <v>2776</v>
      </c>
      <c r="I139" t="s">
        <v>557</v>
      </c>
      <c r="J139" s="3">
        <v>45753</v>
      </c>
      <c r="K139" t="s">
        <v>65</v>
      </c>
    </row>
    <row r="140" spans="1:11" x14ac:dyDescent="0.25">
      <c r="A140" t="s">
        <v>331</v>
      </c>
      <c r="B140" t="s">
        <v>332</v>
      </c>
      <c r="C140" t="s">
        <v>26</v>
      </c>
      <c r="D140" t="s">
        <v>14</v>
      </c>
      <c r="E140" t="s">
        <v>109</v>
      </c>
      <c r="F140">
        <v>8</v>
      </c>
      <c r="G140">
        <v>372</v>
      </c>
      <c r="H140">
        <v>2976</v>
      </c>
      <c r="I140" t="s">
        <v>22</v>
      </c>
      <c r="J140" s="3">
        <v>45835</v>
      </c>
      <c r="K140" t="s">
        <v>65</v>
      </c>
    </row>
    <row r="141" spans="1:11" x14ac:dyDescent="0.25">
      <c r="A141" t="s">
        <v>333</v>
      </c>
      <c r="B141" t="s">
        <v>334</v>
      </c>
      <c r="C141" t="s">
        <v>26</v>
      </c>
      <c r="D141" t="s">
        <v>30</v>
      </c>
      <c r="E141" t="s">
        <v>62</v>
      </c>
      <c r="F141">
        <v>8</v>
      </c>
      <c r="G141">
        <v>656</v>
      </c>
      <c r="H141">
        <v>5248</v>
      </c>
      <c r="I141" t="s">
        <v>22</v>
      </c>
      <c r="J141" s="3">
        <v>45814</v>
      </c>
      <c r="K141" t="s">
        <v>17</v>
      </c>
    </row>
    <row r="142" spans="1:11" x14ac:dyDescent="0.25">
      <c r="A142" t="s">
        <v>335</v>
      </c>
      <c r="B142" t="s">
        <v>336</v>
      </c>
      <c r="C142" t="s">
        <v>26</v>
      </c>
      <c r="D142" t="s">
        <v>14</v>
      </c>
      <c r="E142" t="s">
        <v>99</v>
      </c>
      <c r="F142">
        <v>4</v>
      </c>
      <c r="G142">
        <v>352</v>
      </c>
      <c r="H142">
        <v>1408</v>
      </c>
      <c r="I142" t="s">
        <v>568</v>
      </c>
      <c r="J142" s="3">
        <v>45875</v>
      </c>
      <c r="K142" t="s">
        <v>23</v>
      </c>
    </row>
    <row r="143" spans="1:11" x14ac:dyDescent="0.25">
      <c r="A143" t="s">
        <v>337</v>
      </c>
      <c r="B143" t="s">
        <v>574</v>
      </c>
      <c r="C143" t="s">
        <v>569</v>
      </c>
      <c r="D143" t="s">
        <v>14</v>
      </c>
      <c r="E143" t="s">
        <v>48</v>
      </c>
      <c r="F143">
        <v>8</v>
      </c>
      <c r="G143">
        <v>678</v>
      </c>
      <c r="H143">
        <v>5424</v>
      </c>
      <c r="I143" t="s">
        <v>22</v>
      </c>
      <c r="J143" s="3">
        <v>45835</v>
      </c>
      <c r="K143" t="s">
        <v>65</v>
      </c>
    </row>
    <row r="144" spans="1:11" x14ac:dyDescent="0.25">
      <c r="A144" t="s">
        <v>338</v>
      </c>
      <c r="B144" t="s">
        <v>339</v>
      </c>
      <c r="C144" t="s">
        <v>26</v>
      </c>
      <c r="D144" t="s">
        <v>14</v>
      </c>
      <c r="E144" t="s">
        <v>587</v>
      </c>
      <c r="F144">
        <v>1</v>
      </c>
      <c r="G144">
        <v>527</v>
      </c>
      <c r="H144">
        <v>527</v>
      </c>
      <c r="I144" t="s">
        <v>594</v>
      </c>
      <c r="J144" s="3">
        <v>45875</v>
      </c>
      <c r="K144" t="s">
        <v>31</v>
      </c>
    </row>
    <row r="145" spans="1:11" x14ac:dyDescent="0.25">
      <c r="A145" t="s">
        <v>340</v>
      </c>
      <c r="B145" t="s">
        <v>575</v>
      </c>
      <c r="C145" t="s">
        <v>26</v>
      </c>
      <c r="D145" t="s">
        <v>44</v>
      </c>
      <c r="E145" t="s">
        <v>56</v>
      </c>
      <c r="F145">
        <v>4</v>
      </c>
      <c r="G145">
        <v>795</v>
      </c>
      <c r="H145">
        <v>3180</v>
      </c>
      <c r="I145" t="s">
        <v>594</v>
      </c>
      <c r="J145" s="3">
        <v>45838</v>
      </c>
      <c r="K145" t="s">
        <v>17</v>
      </c>
    </row>
    <row r="146" spans="1:11" x14ac:dyDescent="0.25">
      <c r="A146" t="s">
        <v>341</v>
      </c>
      <c r="B146" t="s">
        <v>587</v>
      </c>
      <c r="C146" t="s">
        <v>26</v>
      </c>
      <c r="D146" t="s">
        <v>30</v>
      </c>
      <c r="E146" t="s">
        <v>38</v>
      </c>
      <c r="F146">
        <v>8</v>
      </c>
      <c r="G146">
        <v>644</v>
      </c>
      <c r="H146">
        <v>5152</v>
      </c>
      <c r="I146" t="s">
        <v>594</v>
      </c>
      <c r="J146" s="3">
        <v>45936</v>
      </c>
      <c r="K146" t="s">
        <v>35</v>
      </c>
    </row>
    <row r="147" spans="1:11" x14ac:dyDescent="0.25">
      <c r="A147" t="s">
        <v>342</v>
      </c>
      <c r="B147" t="s">
        <v>343</v>
      </c>
      <c r="C147" t="s">
        <v>26</v>
      </c>
      <c r="D147" t="s">
        <v>14</v>
      </c>
      <c r="E147" t="s">
        <v>99</v>
      </c>
      <c r="F147">
        <v>3</v>
      </c>
      <c r="G147">
        <v>863</v>
      </c>
      <c r="H147">
        <v>2589</v>
      </c>
      <c r="I147" t="s">
        <v>22</v>
      </c>
      <c r="J147" s="3">
        <v>45833</v>
      </c>
      <c r="K147" t="s">
        <v>65</v>
      </c>
    </row>
    <row r="148" spans="1:11" x14ac:dyDescent="0.25">
      <c r="A148" t="s">
        <v>344</v>
      </c>
      <c r="B148" t="s">
        <v>345</v>
      </c>
      <c r="C148" t="s">
        <v>26</v>
      </c>
      <c r="D148" t="s">
        <v>44</v>
      </c>
      <c r="E148" t="s">
        <v>56</v>
      </c>
      <c r="F148">
        <v>2</v>
      </c>
      <c r="G148">
        <v>503</v>
      </c>
      <c r="H148">
        <v>1006</v>
      </c>
      <c r="I148" t="s">
        <v>22</v>
      </c>
      <c r="J148" s="3">
        <v>45837</v>
      </c>
      <c r="K148" t="s">
        <v>35</v>
      </c>
    </row>
    <row r="149" spans="1:11" x14ac:dyDescent="0.25">
      <c r="A149" t="s">
        <v>346</v>
      </c>
      <c r="B149" t="s">
        <v>347</v>
      </c>
      <c r="C149" t="s">
        <v>26</v>
      </c>
      <c r="D149" t="s">
        <v>44</v>
      </c>
      <c r="E149" t="s">
        <v>125</v>
      </c>
      <c r="F149">
        <v>1</v>
      </c>
      <c r="G149">
        <v>326</v>
      </c>
      <c r="H149">
        <v>326</v>
      </c>
      <c r="I149" t="s">
        <v>22</v>
      </c>
      <c r="J149" s="3">
        <v>45875</v>
      </c>
      <c r="K149" t="s">
        <v>65</v>
      </c>
    </row>
    <row r="150" spans="1:11" x14ac:dyDescent="0.25">
      <c r="A150" t="s">
        <v>348</v>
      </c>
      <c r="B150" t="s">
        <v>349</v>
      </c>
      <c r="C150" t="s">
        <v>26</v>
      </c>
      <c r="D150" t="s">
        <v>20</v>
      </c>
      <c r="E150" t="s">
        <v>112</v>
      </c>
      <c r="F150">
        <v>7</v>
      </c>
      <c r="G150">
        <v>987</v>
      </c>
      <c r="H150">
        <v>6909</v>
      </c>
      <c r="I150" t="s">
        <v>594</v>
      </c>
      <c r="J150" s="3">
        <v>45833</v>
      </c>
      <c r="K150" t="s">
        <v>79</v>
      </c>
    </row>
    <row r="151" spans="1:11" x14ac:dyDescent="0.25">
      <c r="A151" t="s">
        <v>351</v>
      </c>
      <c r="B151" t="s">
        <v>352</v>
      </c>
      <c r="C151" t="s">
        <v>26</v>
      </c>
      <c r="D151" t="s">
        <v>14</v>
      </c>
      <c r="E151" t="s">
        <v>109</v>
      </c>
      <c r="F151">
        <v>5</v>
      </c>
      <c r="G151">
        <v>494</v>
      </c>
      <c r="H151">
        <v>2470</v>
      </c>
      <c r="I151" t="s">
        <v>557</v>
      </c>
      <c r="J151" s="3">
        <v>45695</v>
      </c>
      <c r="K151" t="s">
        <v>17</v>
      </c>
    </row>
    <row r="152" spans="1:11" x14ac:dyDescent="0.25">
      <c r="A152" t="s">
        <v>353</v>
      </c>
      <c r="B152" t="s">
        <v>354</v>
      </c>
      <c r="C152" t="s">
        <v>13</v>
      </c>
      <c r="D152" t="s">
        <v>20</v>
      </c>
      <c r="E152" t="s">
        <v>88</v>
      </c>
      <c r="F152">
        <v>3</v>
      </c>
      <c r="G152">
        <v>747</v>
      </c>
      <c r="H152">
        <v>2241</v>
      </c>
      <c r="I152" t="s">
        <v>22</v>
      </c>
      <c r="J152" s="3">
        <v>45825</v>
      </c>
      <c r="K152" t="s">
        <v>35</v>
      </c>
    </row>
    <row r="153" spans="1:11" x14ac:dyDescent="0.25">
      <c r="A153" t="s">
        <v>355</v>
      </c>
      <c r="B153" t="s">
        <v>356</v>
      </c>
      <c r="C153" t="s">
        <v>26</v>
      </c>
      <c r="D153" t="s">
        <v>20</v>
      </c>
      <c r="E153" t="s">
        <v>75</v>
      </c>
      <c r="F153">
        <v>6</v>
      </c>
      <c r="G153">
        <v>740</v>
      </c>
      <c r="H153">
        <v>4440</v>
      </c>
      <c r="I153" t="s">
        <v>557</v>
      </c>
      <c r="J153" s="3">
        <v>45815</v>
      </c>
      <c r="K153" t="s">
        <v>23</v>
      </c>
    </row>
    <row r="154" spans="1:11" x14ac:dyDescent="0.25">
      <c r="A154" t="s">
        <v>358</v>
      </c>
      <c r="B154" t="s">
        <v>359</v>
      </c>
      <c r="C154" t="s">
        <v>26</v>
      </c>
      <c r="D154" t="s">
        <v>14</v>
      </c>
      <c r="E154" t="s">
        <v>48</v>
      </c>
      <c r="F154">
        <v>6</v>
      </c>
      <c r="G154">
        <v>361</v>
      </c>
      <c r="H154">
        <v>2166</v>
      </c>
      <c r="I154" t="s">
        <v>557</v>
      </c>
      <c r="J154" s="3">
        <v>45828</v>
      </c>
      <c r="K154" t="s">
        <v>23</v>
      </c>
    </row>
    <row r="155" spans="1:11" x14ac:dyDescent="0.25">
      <c r="A155" t="s">
        <v>360</v>
      </c>
      <c r="B155" t="s">
        <v>361</v>
      </c>
      <c r="C155" t="s">
        <v>13</v>
      </c>
      <c r="D155" t="s">
        <v>14</v>
      </c>
      <c r="E155" t="s">
        <v>48</v>
      </c>
      <c r="F155">
        <v>10</v>
      </c>
      <c r="G155">
        <v>128</v>
      </c>
      <c r="H155">
        <v>1280</v>
      </c>
      <c r="I155" t="s">
        <v>557</v>
      </c>
      <c r="J155" s="3">
        <v>45967</v>
      </c>
      <c r="K155" t="s">
        <v>23</v>
      </c>
    </row>
    <row r="156" spans="1:11" x14ac:dyDescent="0.25">
      <c r="A156" t="s">
        <v>362</v>
      </c>
      <c r="B156" t="s">
        <v>363</v>
      </c>
      <c r="C156" t="s">
        <v>13</v>
      </c>
      <c r="D156" t="s">
        <v>30</v>
      </c>
      <c r="E156" t="s">
        <v>34</v>
      </c>
      <c r="F156">
        <v>9</v>
      </c>
      <c r="G156">
        <v>818</v>
      </c>
      <c r="H156">
        <v>7362</v>
      </c>
      <c r="I156" t="s">
        <v>594</v>
      </c>
      <c r="J156" s="3">
        <v>45833</v>
      </c>
      <c r="K156" t="s">
        <v>587</v>
      </c>
    </row>
    <row r="157" spans="1:11" x14ac:dyDescent="0.25">
      <c r="A157" t="s">
        <v>364</v>
      </c>
      <c r="B157" t="s">
        <v>365</v>
      </c>
      <c r="C157" t="s">
        <v>13</v>
      </c>
      <c r="D157" t="s">
        <v>30</v>
      </c>
      <c r="E157" t="s">
        <v>62</v>
      </c>
      <c r="F157">
        <v>8</v>
      </c>
      <c r="G157">
        <v>196</v>
      </c>
      <c r="H157">
        <v>1568</v>
      </c>
      <c r="I157" t="s">
        <v>594</v>
      </c>
      <c r="J157" s="3">
        <v>45826</v>
      </c>
      <c r="K157" t="s">
        <v>31</v>
      </c>
    </row>
    <row r="158" spans="1:11" x14ac:dyDescent="0.25">
      <c r="A158" t="s">
        <v>367</v>
      </c>
      <c r="B158" t="s">
        <v>368</v>
      </c>
      <c r="C158" t="s">
        <v>26</v>
      </c>
      <c r="D158" t="s">
        <v>44</v>
      </c>
      <c r="E158" t="s">
        <v>170</v>
      </c>
      <c r="F158">
        <v>7</v>
      </c>
      <c r="G158">
        <v>864</v>
      </c>
      <c r="H158">
        <v>6048</v>
      </c>
      <c r="I158" t="s">
        <v>594</v>
      </c>
      <c r="J158" s="3">
        <v>45826</v>
      </c>
      <c r="K158" t="s">
        <v>79</v>
      </c>
    </row>
    <row r="159" spans="1:11" x14ac:dyDescent="0.25">
      <c r="A159" t="s">
        <v>369</v>
      </c>
      <c r="B159" t="s">
        <v>370</v>
      </c>
      <c r="C159" t="s">
        <v>13</v>
      </c>
      <c r="D159" t="s">
        <v>14</v>
      </c>
      <c r="E159" t="s">
        <v>15</v>
      </c>
      <c r="F159">
        <v>7</v>
      </c>
      <c r="G159">
        <v>599</v>
      </c>
      <c r="H159">
        <v>4193</v>
      </c>
      <c r="I159" t="s">
        <v>557</v>
      </c>
      <c r="J159" s="3">
        <v>45830</v>
      </c>
      <c r="K159" t="s">
        <v>23</v>
      </c>
    </row>
    <row r="160" spans="1:11" x14ac:dyDescent="0.25">
      <c r="A160" t="s">
        <v>371</v>
      </c>
      <c r="B160" t="s">
        <v>372</v>
      </c>
      <c r="C160" t="s">
        <v>26</v>
      </c>
      <c r="D160" t="s">
        <v>44</v>
      </c>
      <c r="E160" t="s">
        <v>45</v>
      </c>
      <c r="F160">
        <v>2</v>
      </c>
      <c r="G160">
        <v>271</v>
      </c>
      <c r="H160">
        <v>542</v>
      </c>
      <c r="I160" t="s">
        <v>22</v>
      </c>
      <c r="J160" s="3">
        <v>45833</v>
      </c>
      <c r="K160" t="s">
        <v>35</v>
      </c>
    </row>
    <row r="161" spans="1:11" x14ac:dyDescent="0.25">
      <c r="A161" t="s">
        <v>373</v>
      </c>
      <c r="B161" t="s">
        <v>374</v>
      </c>
      <c r="C161" t="s">
        <v>13</v>
      </c>
      <c r="D161" t="s">
        <v>30</v>
      </c>
      <c r="E161" t="s">
        <v>38</v>
      </c>
      <c r="F161">
        <v>4</v>
      </c>
      <c r="G161">
        <v>881</v>
      </c>
      <c r="H161">
        <v>3524</v>
      </c>
      <c r="I161" t="s">
        <v>557</v>
      </c>
      <c r="J161" s="3">
        <v>45664</v>
      </c>
      <c r="K161" t="s">
        <v>23</v>
      </c>
    </row>
    <row r="162" spans="1:11" x14ac:dyDescent="0.25">
      <c r="A162" t="s">
        <v>375</v>
      </c>
      <c r="B162" t="s">
        <v>376</v>
      </c>
      <c r="C162" t="s">
        <v>26</v>
      </c>
      <c r="D162" t="s">
        <v>14</v>
      </c>
      <c r="E162" t="s">
        <v>109</v>
      </c>
      <c r="F162">
        <v>6</v>
      </c>
      <c r="G162">
        <v>886</v>
      </c>
      <c r="H162">
        <v>5316</v>
      </c>
      <c r="I162" t="s">
        <v>16</v>
      </c>
      <c r="J162" s="3">
        <v>45834</v>
      </c>
      <c r="K162" t="s">
        <v>79</v>
      </c>
    </row>
    <row r="163" spans="1:11" x14ac:dyDescent="0.25">
      <c r="A163" t="s">
        <v>377</v>
      </c>
      <c r="B163" t="s">
        <v>378</v>
      </c>
      <c r="C163" t="s">
        <v>26</v>
      </c>
      <c r="D163" t="s">
        <v>30</v>
      </c>
      <c r="E163" t="s">
        <v>38</v>
      </c>
      <c r="F163">
        <v>8</v>
      </c>
      <c r="G163">
        <v>363</v>
      </c>
      <c r="H163">
        <v>2904</v>
      </c>
      <c r="I163" t="s">
        <v>557</v>
      </c>
      <c r="J163" s="3">
        <v>45814</v>
      </c>
      <c r="K163" t="s">
        <v>23</v>
      </c>
    </row>
    <row r="164" spans="1:11" x14ac:dyDescent="0.25">
      <c r="A164" t="s">
        <v>379</v>
      </c>
      <c r="B164" t="s">
        <v>380</v>
      </c>
      <c r="C164" t="s">
        <v>13</v>
      </c>
      <c r="D164" t="s">
        <v>20</v>
      </c>
      <c r="E164" t="s">
        <v>88</v>
      </c>
      <c r="F164">
        <v>7</v>
      </c>
      <c r="G164">
        <v>367</v>
      </c>
      <c r="H164">
        <v>2569</v>
      </c>
      <c r="I164" t="s">
        <v>22</v>
      </c>
      <c r="J164" s="3">
        <v>45814</v>
      </c>
      <c r="K164" t="s">
        <v>31</v>
      </c>
    </row>
    <row r="165" spans="1:11" x14ac:dyDescent="0.25">
      <c r="A165" t="s">
        <v>381</v>
      </c>
      <c r="B165" t="s">
        <v>382</v>
      </c>
      <c r="C165" t="s">
        <v>26</v>
      </c>
      <c r="D165" t="s">
        <v>30</v>
      </c>
      <c r="E165" t="s">
        <v>38</v>
      </c>
      <c r="F165">
        <v>10</v>
      </c>
      <c r="G165">
        <v>463</v>
      </c>
      <c r="H165">
        <v>4630</v>
      </c>
      <c r="I165" t="s">
        <v>22</v>
      </c>
      <c r="J165" s="3">
        <v>45837</v>
      </c>
      <c r="K165" t="s">
        <v>31</v>
      </c>
    </row>
    <row r="166" spans="1:11" x14ac:dyDescent="0.25">
      <c r="A166" t="s">
        <v>383</v>
      </c>
      <c r="B166" t="s">
        <v>384</v>
      </c>
      <c r="C166" t="s">
        <v>13</v>
      </c>
      <c r="D166" t="s">
        <v>20</v>
      </c>
      <c r="E166" t="s">
        <v>75</v>
      </c>
      <c r="F166">
        <v>6</v>
      </c>
      <c r="G166">
        <v>564</v>
      </c>
      <c r="H166">
        <v>3744</v>
      </c>
      <c r="I166" t="s">
        <v>594</v>
      </c>
      <c r="J166" s="3">
        <v>45695</v>
      </c>
      <c r="K166" t="s">
        <v>65</v>
      </c>
    </row>
    <row r="167" spans="1:11" x14ac:dyDescent="0.25">
      <c r="A167" t="s">
        <v>385</v>
      </c>
      <c r="B167" t="s">
        <v>386</v>
      </c>
      <c r="C167" t="s">
        <v>26</v>
      </c>
      <c r="D167" t="s">
        <v>14</v>
      </c>
      <c r="E167" t="s">
        <v>109</v>
      </c>
      <c r="F167">
        <v>1</v>
      </c>
      <c r="G167">
        <v>658</v>
      </c>
      <c r="H167">
        <v>658</v>
      </c>
      <c r="I167" t="s">
        <v>594</v>
      </c>
      <c r="J167" s="3">
        <v>45838</v>
      </c>
      <c r="K167" t="s">
        <v>79</v>
      </c>
    </row>
    <row r="168" spans="1:11" x14ac:dyDescent="0.25">
      <c r="A168" t="s">
        <v>387</v>
      </c>
      <c r="B168" t="s">
        <v>388</v>
      </c>
      <c r="C168" t="s">
        <v>13</v>
      </c>
      <c r="D168" t="s">
        <v>14</v>
      </c>
      <c r="E168" t="s">
        <v>15</v>
      </c>
      <c r="F168">
        <v>8</v>
      </c>
      <c r="G168">
        <v>861</v>
      </c>
      <c r="H168">
        <v>6888</v>
      </c>
      <c r="I168" t="s">
        <v>16</v>
      </c>
      <c r="J168" s="3">
        <v>45829</v>
      </c>
      <c r="K168" t="s">
        <v>31</v>
      </c>
    </row>
    <row r="169" spans="1:11" x14ac:dyDescent="0.25">
      <c r="A169" t="s">
        <v>389</v>
      </c>
      <c r="B169" t="s">
        <v>390</v>
      </c>
      <c r="C169" t="s">
        <v>13</v>
      </c>
      <c r="D169" t="s">
        <v>14</v>
      </c>
      <c r="E169" t="s">
        <v>15</v>
      </c>
      <c r="F169">
        <v>3</v>
      </c>
      <c r="G169">
        <v>376</v>
      </c>
      <c r="H169">
        <v>1128</v>
      </c>
      <c r="I169" t="s">
        <v>16</v>
      </c>
      <c r="J169" s="3">
        <v>45826</v>
      </c>
      <c r="K169" t="s">
        <v>587</v>
      </c>
    </row>
    <row r="170" spans="1:11" x14ac:dyDescent="0.25">
      <c r="A170" t="s">
        <v>391</v>
      </c>
      <c r="B170" t="s">
        <v>392</v>
      </c>
      <c r="C170" t="s">
        <v>26</v>
      </c>
      <c r="D170" t="s">
        <v>14</v>
      </c>
      <c r="E170" t="s">
        <v>99</v>
      </c>
      <c r="F170">
        <v>10</v>
      </c>
      <c r="G170">
        <v>440</v>
      </c>
      <c r="H170">
        <v>4400</v>
      </c>
      <c r="I170" t="s">
        <v>22</v>
      </c>
      <c r="J170" s="3">
        <v>45828</v>
      </c>
      <c r="K170" t="s">
        <v>587</v>
      </c>
    </row>
    <row r="171" spans="1:11" x14ac:dyDescent="0.25">
      <c r="A171" t="s">
        <v>393</v>
      </c>
      <c r="B171" t="s">
        <v>394</v>
      </c>
      <c r="C171" t="s">
        <v>13</v>
      </c>
      <c r="D171" t="s">
        <v>30</v>
      </c>
      <c r="E171" t="s">
        <v>62</v>
      </c>
      <c r="F171">
        <v>8</v>
      </c>
      <c r="G171">
        <v>260</v>
      </c>
      <c r="H171">
        <v>2080</v>
      </c>
      <c r="I171" t="s">
        <v>557</v>
      </c>
      <c r="J171" s="3">
        <v>45823</v>
      </c>
      <c r="K171" t="s">
        <v>65</v>
      </c>
    </row>
    <row r="172" spans="1:11" x14ac:dyDescent="0.25">
      <c r="A172" t="s">
        <v>395</v>
      </c>
      <c r="B172" t="s">
        <v>396</v>
      </c>
      <c r="C172" t="s">
        <v>13</v>
      </c>
      <c r="D172" t="s">
        <v>20</v>
      </c>
      <c r="E172" t="s">
        <v>75</v>
      </c>
      <c r="F172">
        <v>9</v>
      </c>
      <c r="G172">
        <v>220</v>
      </c>
      <c r="H172">
        <v>2643</v>
      </c>
      <c r="I172" t="s">
        <v>16</v>
      </c>
      <c r="J172" s="3">
        <v>45664</v>
      </c>
      <c r="K172" t="s">
        <v>17</v>
      </c>
    </row>
    <row r="173" spans="1:11" x14ac:dyDescent="0.25">
      <c r="A173" t="s">
        <v>397</v>
      </c>
      <c r="B173" t="s">
        <v>398</v>
      </c>
      <c r="C173" t="s">
        <v>13</v>
      </c>
      <c r="D173" t="s">
        <v>30</v>
      </c>
      <c r="E173" t="s">
        <v>62</v>
      </c>
      <c r="F173">
        <v>7</v>
      </c>
      <c r="G173">
        <v>994</v>
      </c>
      <c r="H173">
        <v>6958</v>
      </c>
      <c r="I173" t="s">
        <v>594</v>
      </c>
      <c r="J173" s="3">
        <v>45821</v>
      </c>
      <c r="K173" t="s">
        <v>65</v>
      </c>
    </row>
    <row r="174" spans="1:11" x14ac:dyDescent="0.25">
      <c r="A174" t="s">
        <v>399</v>
      </c>
      <c r="B174" t="s">
        <v>400</v>
      </c>
      <c r="C174" t="s">
        <v>26</v>
      </c>
      <c r="D174" t="s">
        <v>30</v>
      </c>
      <c r="E174" t="s">
        <v>143</v>
      </c>
      <c r="F174">
        <v>10</v>
      </c>
      <c r="G174">
        <v>583</v>
      </c>
      <c r="H174">
        <v>5830</v>
      </c>
      <c r="I174" t="s">
        <v>594</v>
      </c>
      <c r="J174" s="3">
        <v>45664</v>
      </c>
      <c r="K174" t="s">
        <v>23</v>
      </c>
    </row>
    <row r="175" spans="1:11" x14ac:dyDescent="0.25">
      <c r="A175" t="s">
        <v>401</v>
      </c>
      <c r="B175" t="s">
        <v>402</v>
      </c>
      <c r="C175" t="s">
        <v>26</v>
      </c>
      <c r="D175" t="s">
        <v>20</v>
      </c>
      <c r="E175" t="s">
        <v>88</v>
      </c>
      <c r="F175">
        <v>4</v>
      </c>
      <c r="G175">
        <v>195</v>
      </c>
      <c r="H175">
        <v>780</v>
      </c>
      <c r="I175" t="s">
        <v>22</v>
      </c>
      <c r="J175" s="3">
        <v>45814</v>
      </c>
      <c r="K175" t="s">
        <v>79</v>
      </c>
    </row>
    <row r="176" spans="1:11" x14ac:dyDescent="0.25">
      <c r="A176" t="s">
        <v>403</v>
      </c>
      <c r="B176" t="s">
        <v>404</v>
      </c>
      <c r="C176" t="s">
        <v>26</v>
      </c>
      <c r="D176" t="s">
        <v>20</v>
      </c>
      <c r="E176" t="s">
        <v>21</v>
      </c>
      <c r="F176">
        <v>8</v>
      </c>
      <c r="G176">
        <v>345</v>
      </c>
      <c r="H176">
        <v>2760</v>
      </c>
      <c r="I176" t="s">
        <v>594</v>
      </c>
      <c r="J176" s="3">
        <v>45833</v>
      </c>
      <c r="K176" t="s">
        <v>35</v>
      </c>
    </row>
    <row r="177" spans="1:11" x14ac:dyDescent="0.25">
      <c r="A177" t="s">
        <v>405</v>
      </c>
      <c r="B177" t="s">
        <v>406</v>
      </c>
      <c r="C177" t="s">
        <v>587</v>
      </c>
      <c r="D177" t="s">
        <v>14</v>
      </c>
      <c r="E177" t="s">
        <v>15</v>
      </c>
      <c r="F177">
        <v>3</v>
      </c>
      <c r="G177">
        <v>178</v>
      </c>
      <c r="H177">
        <v>534</v>
      </c>
      <c r="I177" t="s">
        <v>16</v>
      </c>
      <c r="J177" s="3">
        <v>45827</v>
      </c>
      <c r="K177" t="s">
        <v>23</v>
      </c>
    </row>
    <row r="178" spans="1:11" x14ac:dyDescent="0.25">
      <c r="A178" t="s">
        <v>407</v>
      </c>
      <c r="B178" t="s">
        <v>408</v>
      </c>
      <c r="C178" t="s">
        <v>26</v>
      </c>
      <c r="D178" t="s">
        <v>30</v>
      </c>
      <c r="E178" t="s">
        <v>70</v>
      </c>
      <c r="F178">
        <v>8</v>
      </c>
      <c r="G178">
        <v>262</v>
      </c>
      <c r="H178">
        <v>2096</v>
      </c>
      <c r="I178" t="s">
        <v>557</v>
      </c>
      <c r="J178" s="3">
        <v>45825</v>
      </c>
      <c r="K178" t="s">
        <v>23</v>
      </c>
    </row>
    <row r="179" spans="1:11" x14ac:dyDescent="0.25">
      <c r="A179" t="s">
        <v>409</v>
      </c>
      <c r="B179" t="s">
        <v>410</v>
      </c>
      <c r="C179" t="s">
        <v>13</v>
      </c>
      <c r="D179" t="s">
        <v>44</v>
      </c>
      <c r="E179" t="s">
        <v>56</v>
      </c>
      <c r="F179">
        <v>4</v>
      </c>
      <c r="G179">
        <v>386</v>
      </c>
      <c r="H179">
        <v>1544</v>
      </c>
      <c r="I179" t="s">
        <v>16</v>
      </c>
      <c r="J179" s="3">
        <v>45831</v>
      </c>
      <c r="K179" t="s">
        <v>17</v>
      </c>
    </row>
    <row r="180" spans="1:11" x14ac:dyDescent="0.25">
      <c r="A180" t="s">
        <v>411</v>
      </c>
      <c r="B180" t="s">
        <v>412</v>
      </c>
      <c r="C180" t="s">
        <v>13</v>
      </c>
      <c r="D180" t="s">
        <v>30</v>
      </c>
      <c r="E180" t="s">
        <v>38</v>
      </c>
      <c r="F180">
        <v>5</v>
      </c>
      <c r="G180">
        <v>481</v>
      </c>
      <c r="H180">
        <v>2405</v>
      </c>
      <c r="I180" t="s">
        <v>594</v>
      </c>
      <c r="J180" s="3">
        <v>45830</v>
      </c>
      <c r="K180" t="s">
        <v>65</v>
      </c>
    </row>
    <row r="181" spans="1:11" x14ac:dyDescent="0.25">
      <c r="A181" t="s">
        <v>413</v>
      </c>
      <c r="B181" t="s">
        <v>414</v>
      </c>
      <c r="C181" t="s">
        <v>26</v>
      </c>
      <c r="D181" t="s">
        <v>14</v>
      </c>
      <c r="E181" t="s">
        <v>99</v>
      </c>
      <c r="F181">
        <v>4</v>
      </c>
      <c r="G181">
        <v>367</v>
      </c>
      <c r="H181">
        <v>1468</v>
      </c>
      <c r="I181" t="s">
        <v>594</v>
      </c>
      <c r="J181" s="3">
        <v>45831</v>
      </c>
      <c r="K181" t="s">
        <v>79</v>
      </c>
    </row>
    <row r="182" spans="1:11" x14ac:dyDescent="0.25">
      <c r="A182" t="s">
        <v>415</v>
      </c>
      <c r="B182" t="s">
        <v>416</v>
      </c>
      <c r="C182" t="s">
        <v>13</v>
      </c>
      <c r="D182" t="s">
        <v>44</v>
      </c>
      <c r="E182" t="s">
        <v>170</v>
      </c>
      <c r="F182">
        <v>7</v>
      </c>
      <c r="G182">
        <v>373</v>
      </c>
      <c r="H182">
        <v>2611</v>
      </c>
      <c r="I182" t="s">
        <v>22</v>
      </c>
      <c r="J182" s="3">
        <v>45830</v>
      </c>
      <c r="K182" t="s">
        <v>23</v>
      </c>
    </row>
    <row r="183" spans="1:11" x14ac:dyDescent="0.25">
      <c r="A183" t="s">
        <v>417</v>
      </c>
      <c r="B183" t="s">
        <v>418</v>
      </c>
      <c r="C183" t="s">
        <v>13</v>
      </c>
      <c r="D183" t="s">
        <v>30</v>
      </c>
      <c r="E183" t="s">
        <v>34</v>
      </c>
      <c r="F183">
        <v>5</v>
      </c>
      <c r="G183">
        <v>767</v>
      </c>
      <c r="H183">
        <v>3835</v>
      </c>
      <c r="I183" t="s">
        <v>16</v>
      </c>
      <c r="J183" s="3">
        <v>45822</v>
      </c>
      <c r="K183" t="s">
        <v>65</v>
      </c>
    </row>
    <row r="184" spans="1:11" x14ac:dyDescent="0.25">
      <c r="A184" t="s">
        <v>419</v>
      </c>
      <c r="B184" t="s">
        <v>420</v>
      </c>
      <c r="C184" t="s">
        <v>26</v>
      </c>
      <c r="D184" t="s">
        <v>20</v>
      </c>
      <c r="E184" t="s">
        <v>75</v>
      </c>
      <c r="F184">
        <v>1</v>
      </c>
      <c r="G184">
        <v>654</v>
      </c>
      <c r="H184">
        <v>654</v>
      </c>
      <c r="I184" t="s">
        <v>16</v>
      </c>
      <c r="J184" s="3">
        <v>45936</v>
      </c>
      <c r="K184" t="s">
        <v>31</v>
      </c>
    </row>
    <row r="185" spans="1:11" x14ac:dyDescent="0.25">
      <c r="A185" t="s">
        <v>421</v>
      </c>
      <c r="B185" t="s">
        <v>578</v>
      </c>
      <c r="C185" t="s">
        <v>13</v>
      </c>
      <c r="D185" t="s">
        <v>20</v>
      </c>
      <c r="E185" t="s">
        <v>75</v>
      </c>
      <c r="F185">
        <v>2</v>
      </c>
      <c r="G185">
        <v>161</v>
      </c>
      <c r="H185">
        <v>322</v>
      </c>
      <c r="I185" t="s">
        <v>594</v>
      </c>
      <c r="J185" s="3">
        <v>45828</v>
      </c>
      <c r="K185" t="s">
        <v>31</v>
      </c>
    </row>
    <row r="186" spans="1:11" x14ac:dyDescent="0.25">
      <c r="A186" t="s">
        <v>422</v>
      </c>
      <c r="B186" t="s">
        <v>423</v>
      </c>
      <c r="C186" t="s">
        <v>26</v>
      </c>
      <c r="D186" t="s">
        <v>14</v>
      </c>
      <c r="E186" t="s">
        <v>78</v>
      </c>
      <c r="F186">
        <v>6</v>
      </c>
      <c r="G186">
        <v>399</v>
      </c>
      <c r="H186">
        <v>2394</v>
      </c>
      <c r="I186" t="s">
        <v>22</v>
      </c>
      <c r="J186" s="3">
        <v>45837</v>
      </c>
      <c r="K186" t="s">
        <v>79</v>
      </c>
    </row>
    <row r="187" spans="1:11" x14ac:dyDescent="0.25">
      <c r="A187" t="s">
        <v>424</v>
      </c>
      <c r="B187" t="s">
        <v>425</v>
      </c>
      <c r="C187" t="s">
        <v>26</v>
      </c>
      <c r="D187" t="s">
        <v>30</v>
      </c>
      <c r="E187" t="s">
        <v>587</v>
      </c>
      <c r="F187">
        <v>8</v>
      </c>
      <c r="G187">
        <v>566</v>
      </c>
      <c r="H187">
        <v>4528</v>
      </c>
      <c r="I187" t="s">
        <v>594</v>
      </c>
      <c r="J187" s="3">
        <v>45844</v>
      </c>
      <c r="K187" t="s">
        <v>65</v>
      </c>
    </row>
    <row r="188" spans="1:11" x14ac:dyDescent="0.25">
      <c r="A188" t="s">
        <v>426</v>
      </c>
      <c r="B188" t="s">
        <v>427</v>
      </c>
      <c r="C188" t="s">
        <v>13</v>
      </c>
      <c r="D188" t="s">
        <v>30</v>
      </c>
      <c r="E188" t="s">
        <v>62</v>
      </c>
      <c r="F188">
        <v>10</v>
      </c>
      <c r="G188">
        <v>694</v>
      </c>
      <c r="H188">
        <v>6940</v>
      </c>
      <c r="I188" t="s">
        <v>557</v>
      </c>
      <c r="J188" s="3">
        <v>45824</v>
      </c>
      <c r="K188" t="s">
        <v>65</v>
      </c>
    </row>
    <row r="189" spans="1:11" x14ac:dyDescent="0.25">
      <c r="A189" t="s">
        <v>428</v>
      </c>
      <c r="B189" t="s">
        <v>429</v>
      </c>
      <c r="C189" t="s">
        <v>26</v>
      </c>
      <c r="D189" t="s">
        <v>14</v>
      </c>
      <c r="E189" t="s">
        <v>109</v>
      </c>
      <c r="F189">
        <v>2</v>
      </c>
      <c r="G189">
        <v>803</v>
      </c>
      <c r="H189">
        <v>1975</v>
      </c>
      <c r="I189" t="s">
        <v>557</v>
      </c>
      <c r="J189" s="3">
        <v>45823</v>
      </c>
      <c r="K189" t="s">
        <v>23</v>
      </c>
    </row>
    <row r="190" spans="1:11" x14ac:dyDescent="0.25">
      <c r="A190" t="s">
        <v>430</v>
      </c>
      <c r="B190" t="s">
        <v>553</v>
      </c>
      <c r="C190" t="s">
        <v>13</v>
      </c>
      <c r="D190" t="s">
        <v>20</v>
      </c>
      <c r="E190" t="s">
        <v>88</v>
      </c>
      <c r="F190">
        <v>4</v>
      </c>
      <c r="G190">
        <v>959</v>
      </c>
      <c r="H190">
        <v>3836</v>
      </c>
      <c r="I190" t="s">
        <v>557</v>
      </c>
      <c r="J190" s="3">
        <v>45828</v>
      </c>
      <c r="K190" t="s">
        <v>31</v>
      </c>
    </row>
    <row r="191" spans="1:11" x14ac:dyDescent="0.25">
      <c r="A191" t="s">
        <v>431</v>
      </c>
      <c r="B191" t="s">
        <v>432</v>
      </c>
      <c r="C191" t="s">
        <v>26</v>
      </c>
      <c r="D191" t="s">
        <v>30</v>
      </c>
      <c r="E191" t="s">
        <v>70</v>
      </c>
      <c r="F191">
        <v>10</v>
      </c>
      <c r="G191">
        <v>467</v>
      </c>
      <c r="H191">
        <v>4670</v>
      </c>
      <c r="I191" t="s">
        <v>22</v>
      </c>
      <c r="J191" s="3">
        <v>45827</v>
      </c>
      <c r="K191" t="s">
        <v>17</v>
      </c>
    </row>
    <row r="192" spans="1:11" x14ac:dyDescent="0.25">
      <c r="A192" t="s">
        <v>433</v>
      </c>
      <c r="B192" t="s">
        <v>434</v>
      </c>
      <c r="C192" t="s">
        <v>26</v>
      </c>
      <c r="D192" t="s">
        <v>20</v>
      </c>
      <c r="E192" t="s">
        <v>21</v>
      </c>
      <c r="F192">
        <v>6</v>
      </c>
      <c r="G192">
        <v>661</v>
      </c>
      <c r="H192">
        <v>3966</v>
      </c>
      <c r="I192" t="s">
        <v>594</v>
      </c>
      <c r="J192" s="3">
        <v>45831</v>
      </c>
      <c r="K192" t="s">
        <v>31</v>
      </c>
    </row>
    <row r="193" spans="1:11" x14ac:dyDescent="0.25">
      <c r="A193" t="s">
        <v>435</v>
      </c>
      <c r="B193" t="s">
        <v>436</v>
      </c>
      <c r="C193" t="s">
        <v>13</v>
      </c>
      <c r="D193" t="s">
        <v>14</v>
      </c>
      <c r="E193" t="s">
        <v>99</v>
      </c>
      <c r="F193">
        <v>9</v>
      </c>
      <c r="G193">
        <v>58</v>
      </c>
      <c r="H193">
        <v>522</v>
      </c>
      <c r="I193" t="s">
        <v>594</v>
      </c>
      <c r="J193" s="3">
        <v>45722</v>
      </c>
      <c r="K193" t="s">
        <v>31</v>
      </c>
    </row>
    <row r="194" spans="1:11" x14ac:dyDescent="0.25">
      <c r="A194" t="s">
        <v>437</v>
      </c>
      <c r="B194" t="s">
        <v>438</v>
      </c>
      <c r="C194" t="s">
        <v>26</v>
      </c>
      <c r="D194" t="s">
        <v>30</v>
      </c>
      <c r="E194" t="s">
        <v>143</v>
      </c>
      <c r="F194">
        <v>7</v>
      </c>
      <c r="G194">
        <v>336</v>
      </c>
      <c r="H194">
        <v>2352</v>
      </c>
      <c r="I194" t="s">
        <v>557</v>
      </c>
      <c r="J194" s="3">
        <v>45823</v>
      </c>
      <c r="K194" t="s">
        <v>31</v>
      </c>
    </row>
    <row r="195" spans="1:11" x14ac:dyDescent="0.25">
      <c r="A195" t="s">
        <v>439</v>
      </c>
      <c r="B195" t="s">
        <v>440</v>
      </c>
      <c r="C195" t="s">
        <v>26</v>
      </c>
      <c r="D195" t="s">
        <v>20</v>
      </c>
      <c r="E195" t="s">
        <v>41</v>
      </c>
      <c r="F195">
        <v>3</v>
      </c>
      <c r="G195">
        <v>487</v>
      </c>
      <c r="H195">
        <v>1461</v>
      </c>
      <c r="I195" t="s">
        <v>557</v>
      </c>
      <c r="J195" s="3">
        <v>45838</v>
      </c>
      <c r="K195" t="s">
        <v>31</v>
      </c>
    </row>
    <row r="196" spans="1:11" x14ac:dyDescent="0.25">
      <c r="A196" t="s">
        <v>441</v>
      </c>
      <c r="B196" t="s">
        <v>442</v>
      </c>
      <c r="C196" t="s">
        <v>26</v>
      </c>
      <c r="D196" t="s">
        <v>44</v>
      </c>
      <c r="E196" t="s">
        <v>125</v>
      </c>
      <c r="F196">
        <v>9</v>
      </c>
      <c r="G196">
        <v>681</v>
      </c>
      <c r="H196">
        <v>6129</v>
      </c>
      <c r="I196" t="s">
        <v>22</v>
      </c>
      <c r="J196" s="3">
        <v>45722</v>
      </c>
      <c r="K196" t="s">
        <v>65</v>
      </c>
    </row>
    <row r="197" spans="1:11" x14ac:dyDescent="0.25">
      <c r="A197" t="s">
        <v>443</v>
      </c>
      <c r="B197" t="s">
        <v>444</v>
      </c>
      <c r="C197" t="s">
        <v>26</v>
      </c>
      <c r="D197" t="s">
        <v>44</v>
      </c>
      <c r="E197" t="s">
        <v>45</v>
      </c>
      <c r="F197">
        <v>8</v>
      </c>
      <c r="G197">
        <v>893</v>
      </c>
      <c r="H197">
        <v>7144</v>
      </c>
      <c r="I197" t="s">
        <v>22</v>
      </c>
      <c r="J197" s="3">
        <v>45831</v>
      </c>
      <c r="K197" t="s">
        <v>31</v>
      </c>
    </row>
    <row r="198" spans="1:11" x14ac:dyDescent="0.25">
      <c r="A198" t="s">
        <v>445</v>
      </c>
      <c r="B198" t="s">
        <v>446</v>
      </c>
      <c r="C198" t="s">
        <v>13</v>
      </c>
      <c r="D198" t="s">
        <v>14</v>
      </c>
      <c r="E198" t="s">
        <v>99</v>
      </c>
      <c r="F198">
        <v>6</v>
      </c>
      <c r="G198">
        <v>594</v>
      </c>
      <c r="H198">
        <v>4265</v>
      </c>
      <c r="I198" t="s">
        <v>594</v>
      </c>
      <c r="J198" s="3">
        <v>45822</v>
      </c>
      <c r="K198" t="s">
        <v>65</v>
      </c>
    </row>
    <row r="199" spans="1:11" x14ac:dyDescent="0.25">
      <c r="A199" t="s">
        <v>447</v>
      </c>
      <c r="B199" t="s">
        <v>448</v>
      </c>
      <c r="C199" t="s">
        <v>13</v>
      </c>
      <c r="D199" t="s">
        <v>44</v>
      </c>
      <c r="E199" t="s">
        <v>170</v>
      </c>
      <c r="F199">
        <v>3</v>
      </c>
      <c r="G199">
        <v>138</v>
      </c>
      <c r="H199">
        <v>414</v>
      </c>
      <c r="I199" t="s">
        <v>16</v>
      </c>
      <c r="J199" s="3">
        <v>45997</v>
      </c>
      <c r="K199" t="s">
        <v>23</v>
      </c>
    </row>
    <row r="200" spans="1:11" x14ac:dyDescent="0.25">
      <c r="A200" t="s">
        <v>449</v>
      </c>
      <c r="B200" t="s">
        <v>450</v>
      </c>
      <c r="C200" t="s">
        <v>26</v>
      </c>
      <c r="D200" t="s">
        <v>44</v>
      </c>
      <c r="E200" t="s">
        <v>125</v>
      </c>
      <c r="F200">
        <v>9</v>
      </c>
      <c r="G200">
        <v>598</v>
      </c>
      <c r="H200">
        <v>5382</v>
      </c>
      <c r="I200" t="s">
        <v>16</v>
      </c>
      <c r="J200" s="3">
        <v>45830</v>
      </c>
      <c r="K200" t="s">
        <v>587</v>
      </c>
    </row>
    <row r="201" spans="1:11" x14ac:dyDescent="0.25">
      <c r="A201" t="s">
        <v>452</v>
      </c>
      <c r="B201" t="s">
        <v>453</v>
      </c>
      <c r="C201" t="s">
        <v>26</v>
      </c>
      <c r="D201" t="s">
        <v>30</v>
      </c>
      <c r="E201" t="s">
        <v>143</v>
      </c>
      <c r="F201">
        <v>3</v>
      </c>
      <c r="G201">
        <v>162</v>
      </c>
      <c r="H201">
        <v>486</v>
      </c>
      <c r="I201" t="s">
        <v>594</v>
      </c>
      <c r="J201" s="3">
        <v>45836</v>
      </c>
      <c r="K201" t="s">
        <v>35</v>
      </c>
    </row>
    <row r="202" spans="1:11" x14ac:dyDescent="0.25">
      <c r="A202" t="s">
        <v>455</v>
      </c>
      <c r="B202" t="s">
        <v>456</v>
      </c>
      <c r="C202" t="s">
        <v>13</v>
      </c>
      <c r="D202" t="s">
        <v>20</v>
      </c>
      <c r="E202" t="s">
        <v>21</v>
      </c>
      <c r="F202">
        <v>6</v>
      </c>
      <c r="G202">
        <v>818</v>
      </c>
      <c r="H202">
        <v>4908</v>
      </c>
      <c r="I202" t="s">
        <v>594</v>
      </c>
      <c r="J202" s="3">
        <v>45875</v>
      </c>
      <c r="K202" t="s">
        <v>23</v>
      </c>
    </row>
    <row r="203" spans="1:11" x14ac:dyDescent="0.25">
      <c r="A203" t="s">
        <v>457</v>
      </c>
      <c r="B203" t="s">
        <v>458</v>
      </c>
      <c r="C203" t="s">
        <v>26</v>
      </c>
      <c r="D203" t="s">
        <v>30</v>
      </c>
      <c r="E203" t="s">
        <v>143</v>
      </c>
      <c r="F203">
        <v>4</v>
      </c>
      <c r="G203">
        <v>273</v>
      </c>
      <c r="H203">
        <f>F203*G203</f>
        <v>1092</v>
      </c>
      <c r="I203" t="s">
        <v>594</v>
      </c>
      <c r="J203" s="3">
        <v>45664</v>
      </c>
      <c r="K203" t="s">
        <v>79</v>
      </c>
    </row>
    <row r="204" spans="1:11" x14ac:dyDescent="0.25">
      <c r="A204" t="s">
        <v>459</v>
      </c>
      <c r="B204" t="s">
        <v>460</v>
      </c>
      <c r="C204" t="s">
        <v>13</v>
      </c>
      <c r="D204" t="s">
        <v>44</v>
      </c>
      <c r="E204" t="s">
        <v>170</v>
      </c>
      <c r="F204">
        <v>7</v>
      </c>
      <c r="G204">
        <v>168</v>
      </c>
      <c r="H204">
        <v>1176</v>
      </c>
      <c r="I204" t="s">
        <v>557</v>
      </c>
      <c r="J204" s="3">
        <v>45844</v>
      </c>
      <c r="K204" t="s">
        <v>17</v>
      </c>
    </row>
    <row r="205" spans="1:11" x14ac:dyDescent="0.25">
      <c r="A205" t="s">
        <v>461</v>
      </c>
      <c r="B205" t="s">
        <v>554</v>
      </c>
      <c r="C205" t="s">
        <v>26</v>
      </c>
      <c r="D205" t="s">
        <v>20</v>
      </c>
      <c r="E205" t="s">
        <v>112</v>
      </c>
      <c r="F205">
        <v>40</v>
      </c>
      <c r="G205">
        <v>405</v>
      </c>
      <c r="H205">
        <v>810</v>
      </c>
      <c r="I205" t="s">
        <v>557</v>
      </c>
      <c r="J205" s="3">
        <v>45830</v>
      </c>
      <c r="K205" t="s">
        <v>35</v>
      </c>
    </row>
    <row r="206" spans="1:11" x14ac:dyDescent="0.25">
      <c r="A206" t="s">
        <v>462</v>
      </c>
      <c r="B206" t="s">
        <v>463</v>
      </c>
      <c r="C206" t="s">
        <v>26</v>
      </c>
      <c r="D206" t="s">
        <v>30</v>
      </c>
      <c r="E206" t="s">
        <v>38</v>
      </c>
      <c r="F206">
        <v>7</v>
      </c>
      <c r="G206">
        <v>906</v>
      </c>
      <c r="H206">
        <v>6342</v>
      </c>
      <c r="I206" t="s">
        <v>594</v>
      </c>
      <c r="J206" s="3">
        <v>45830</v>
      </c>
      <c r="K206" t="s">
        <v>65</v>
      </c>
    </row>
    <row r="207" spans="1:11" x14ac:dyDescent="0.25">
      <c r="A207" t="s">
        <v>464</v>
      </c>
      <c r="B207" t="s">
        <v>465</v>
      </c>
      <c r="C207" t="s">
        <v>13</v>
      </c>
      <c r="D207" t="s">
        <v>20</v>
      </c>
      <c r="E207" t="s">
        <v>112</v>
      </c>
      <c r="F207">
        <v>7</v>
      </c>
      <c r="G207">
        <v>875</v>
      </c>
      <c r="H207">
        <v>6125</v>
      </c>
      <c r="I207" t="s">
        <v>557</v>
      </c>
      <c r="J207" s="3">
        <v>45835</v>
      </c>
      <c r="K207" t="s">
        <v>23</v>
      </c>
    </row>
    <row r="208" spans="1:11" x14ac:dyDescent="0.25">
      <c r="A208" t="s">
        <v>466</v>
      </c>
      <c r="B208" t="s">
        <v>467</v>
      </c>
      <c r="C208" t="s">
        <v>26</v>
      </c>
      <c r="D208" t="s">
        <v>14</v>
      </c>
      <c r="E208" t="s">
        <v>99</v>
      </c>
      <c r="F208">
        <v>8</v>
      </c>
      <c r="G208">
        <v>76</v>
      </c>
      <c r="H208">
        <v>608</v>
      </c>
      <c r="I208" t="s">
        <v>594</v>
      </c>
      <c r="J208" s="3">
        <v>45814</v>
      </c>
      <c r="K208" t="s">
        <v>35</v>
      </c>
    </row>
    <row r="209" spans="1:11" x14ac:dyDescent="0.25">
      <c r="A209" t="s">
        <v>469</v>
      </c>
      <c r="B209" t="s">
        <v>470</v>
      </c>
      <c r="C209" t="s">
        <v>26</v>
      </c>
      <c r="D209" t="s">
        <v>20</v>
      </c>
      <c r="E209" t="s">
        <v>75</v>
      </c>
      <c r="F209">
        <v>3</v>
      </c>
      <c r="G209">
        <v>132</v>
      </c>
      <c r="H209">
        <v>396</v>
      </c>
      <c r="I209" t="s">
        <v>16</v>
      </c>
      <c r="J209" s="3">
        <v>45838</v>
      </c>
      <c r="K209" t="s">
        <v>79</v>
      </c>
    </row>
    <row r="210" spans="1:11" x14ac:dyDescent="0.25">
      <c r="A210" t="s">
        <v>471</v>
      </c>
      <c r="B210" t="s">
        <v>472</v>
      </c>
      <c r="C210" t="s">
        <v>13</v>
      </c>
      <c r="D210" t="s">
        <v>44</v>
      </c>
      <c r="E210" t="s">
        <v>56</v>
      </c>
      <c r="F210">
        <v>8</v>
      </c>
      <c r="G210">
        <v>539</v>
      </c>
      <c r="H210">
        <v>4312</v>
      </c>
      <c r="I210" t="s">
        <v>557</v>
      </c>
      <c r="J210" s="3">
        <v>45825</v>
      </c>
      <c r="K210" t="s">
        <v>35</v>
      </c>
    </row>
    <row r="211" spans="1:11" x14ac:dyDescent="0.25">
      <c r="A211" t="s">
        <v>473</v>
      </c>
      <c r="B211" t="s">
        <v>474</v>
      </c>
      <c r="C211" t="s">
        <v>13</v>
      </c>
      <c r="D211" t="s">
        <v>20</v>
      </c>
      <c r="E211" t="s">
        <v>112</v>
      </c>
      <c r="F211">
        <v>7</v>
      </c>
      <c r="G211">
        <v>327</v>
      </c>
      <c r="H211">
        <v>2289</v>
      </c>
      <c r="I211" t="s">
        <v>16</v>
      </c>
      <c r="J211" s="3">
        <v>45837</v>
      </c>
      <c r="K211" t="s">
        <v>17</v>
      </c>
    </row>
    <row r="212" spans="1:11" x14ac:dyDescent="0.25">
      <c r="A212" t="s">
        <v>475</v>
      </c>
      <c r="B212" t="s">
        <v>476</v>
      </c>
      <c r="C212" t="s">
        <v>13</v>
      </c>
      <c r="D212" t="s">
        <v>14</v>
      </c>
      <c r="E212" t="s">
        <v>99</v>
      </c>
      <c r="F212">
        <v>9</v>
      </c>
      <c r="G212">
        <v>222</v>
      </c>
      <c r="H212">
        <v>1998</v>
      </c>
      <c r="I212" t="s">
        <v>557</v>
      </c>
      <c r="J212" s="3">
        <v>45753</v>
      </c>
      <c r="K212" t="s">
        <v>65</v>
      </c>
    </row>
    <row r="213" spans="1:11" x14ac:dyDescent="0.25">
      <c r="A213" t="s">
        <v>477</v>
      </c>
      <c r="B213" t="s">
        <v>478</v>
      </c>
      <c r="C213" t="s">
        <v>13</v>
      </c>
      <c r="D213" t="s">
        <v>30</v>
      </c>
      <c r="E213" t="s">
        <v>62</v>
      </c>
      <c r="F213">
        <v>4</v>
      </c>
      <c r="G213">
        <v>289</v>
      </c>
      <c r="H213">
        <v>1156</v>
      </c>
      <c r="I213" t="s">
        <v>594</v>
      </c>
      <c r="J213" s="3">
        <v>45967</v>
      </c>
      <c r="K213" t="s">
        <v>17</v>
      </c>
    </row>
    <row r="214" spans="1:11" x14ac:dyDescent="0.25">
      <c r="A214" t="s">
        <v>479</v>
      </c>
      <c r="B214" t="s">
        <v>480</v>
      </c>
      <c r="C214" t="s">
        <v>26</v>
      </c>
      <c r="D214" t="s">
        <v>14</v>
      </c>
      <c r="E214" t="s">
        <v>109</v>
      </c>
      <c r="F214">
        <v>1</v>
      </c>
      <c r="G214">
        <v>624</v>
      </c>
      <c r="H214">
        <v>624</v>
      </c>
      <c r="I214" t="s">
        <v>16</v>
      </c>
      <c r="J214" s="3">
        <v>45997</v>
      </c>
      <c r="K214" t="s">
        <v>65</v>
      </c>
    </row>
    <row r="215" spans="1:11" x14ac:dyDescent="0.25">
      <c r="A215" t="s">
        <v>481</v>
      </c>
      <c r="B215" t="s">
        <v>482</v>
      </c>
      <c r="C215" t="s">
        <v>26</v>
      </c>
      <c r="D215" t="s">
        <v>30</v>
      </c>
      <c r="E215" t="s">
        <v>70</v>
      </c>
      <c r="F215">
        <v>7</v>
      </c>
      <c r="G215">
        <v>196</v>
      </c>
      <c r="H215">
        <v>1372</v>
      </c>
      <c r="I215" t="s">
        <v>16</v>
      </c>
      <c r="J215" s="3">
        <v>45664</v>
      </c>
      <c r="K215" t="s">
        <v>35</v>
      </c>
    </row>
    <row r="216" spans="1:11" x14ac:dyDescent="0.25">
      <c r="A216" t="s">
        <v>483</v>
      </c>
      <c r="B216" t="s">
        <v>484</v>
      </c>
      <c r="C216" t="s">
        <v>26</v>
      </c>
      <c r="D216" t="s">
        <v>30</v>
      </c>
      <c r="E216" t="s">
        <v>62</v>
      </c>
      <c r="F216">
        <v>10</v>
      </c>
      <c r="G216">
        <v>395</v>
      </c>
      <c r="H216">
        <v>3950</v>
      </c>
      <c r="I216" t="s">
        <v>557</v>
      </c>
      <c r="J216" s="3">
        <v>45844</v>
      </c>
      <c r="K216" t="s">
        <v>65</v>
      </c>
    </row>
    <row r="217" spans="1:11" x14ac:dyDescent="0.25">
      <c r="A217" t="s">
        <v>485</v>
      </c>
      <c r="B217" t="s">
        <v>486</v>
      </c>
      <c r="C217" t="s">
        <v>13</v>
      </c>
      <c r="D217" t="s">
        <v>44</v>
      </c>
      <c r="E217" t="s">
        <v>45</v>
      </c>
      <c r="F217">
        <v>10</v>
      </c>
      <c r="G217">
        <v>9500</v>
      </c>
      <c r="H217">
        <v>1900</v>
      </c>
      <c r="I217" t="s">
        <v>16</v>
      </c>
      <c r="J217" s="3">
        <v>45835</v>
      </c>
      <c r="K217" t="s">
        <v>31</v>
      </c>
    </row>
    <row r="218" spans="1:11" x14ac:dyDescent="0.25">
      <c r="A218" t="s">
        <v>487</v>
      </c>
      <c r="B218" t="s">
        <v>582</v>
      </c>
      <c r="C218" t="s">
        <v>13</v>
      </c>
      <c r="D218" t="s">
        <v>30</v>
      </c>
      <c r="E218" t="s">
        <v>143</v>
      </c>
      <c r="F218">
        <v>8</v>
      </c>
      <c r="G218">
        <v>319</v>
      </c>
      <c r="H218">
        <v>2552</v>
      </c>
      <c r="I218" t="s">
        <v>557</v>
      </c>
      <c r="J218" s="3">
        <v>45822</v>
      </c>
      <c r="K218" t="s">
        <v>65</v>
      </c>
    </row>
    <row r="219" spans="1:11" x14ac:dyDescent="0.25">
      <c r="A219" t="s">
        <v>488</v>
      </c>
      <c r="B219" t="s">
        <v>489</v>
      </c>
      <c r="C219" t="s">
        <v>26</v>
      </c>
      <c r="D219" t="s">
        <v>44</v>
      </c>
      <c r="E219" t="s">
        <v>125</v>
      </c>
      <c r="F219">
        <v>10</v>
      </c>
      <c r="G219">
        <v>298</v>
      </c>
      <c r="H219">
        <v>2980</v>
      </c>
      <c r="I219" t="s">
        <v>16</v>
      </c>
      <c r="J219" s="3">
        <v>45828</v>
      </c>
      <c r="K219" t="s">
        <v>31</v>
      </c>
    </row>
    <row r="220" spans="1:11" x14ac:dyDescent="0.25">
      <c r="A220" t="s">
        <v>491</v>
      </c>
      <c r="B220" t="s">
        <v>492</v>
      </c>
      <c r="C220" t="s">
        <v>13</v>
      </c>
      <c r="D220" t="s">
        <v>30</v>
      </c>
      <c r="E220" t="s">
        <v>34</v>
      </c>
      <c r="F220">
        <v>1</v>
      </c>
      <c r="G220">
        <v>896</v>
      </c>
      <c r="H220">
        <v>896</v>
      </c>
      <c r="I220" t="s">
        <v>594</v>
      </c>
      <c r="J220" s="3">
        <v>45833</v>
      </c>
      <c r="K220" t="s">
        <v>31</v>
      </c>
    </row>
    <row r="221" spans="1:11" x14ac:dyDescent="0.25">
      <c r="A221" t="s">
        <v>493</v>
      </c>
      <c r="B221" t="s">
        <v>494</v>
      </c>
      <c r="C221" t="s">
        <v>13</v>
      </c>
      <c r="D221" t="s">
        <v>30</v>
      </c>
      <c r="E221" t="s">
        <v>62</v>
      </c>
      <c r="F221">
        <v>7</v>
      </c>
      <c r="G221">
        <v>247</v>
      </c>
      <c r="H221">
        <v>1729</v>
      </c>
      <c r="I221" t="s">
        <v>16</v>
      </c>
      <c r="J221" s="3">
        <v>45814</v>
      </c>
      <c r="K221" t="s">
        <v>79</v>
      </c>
    </row>
    <row r="222" spans="1:11" x14ac:dyDescent="0.25">
      <c r="A222" t="s">
        <v>495</v>
      </c>
      <c r="B222" t="s">
        <v>496</v>
      </c>
      <c r="C222" t="s">
        <v>13</v>
      </c>
      <c r="D222" t="s">
        <v>14</v>
      </c>
      <c r="E222" t="s">
        <v>99</v>
      </c>
      <c r="F222">
        <v>5</v>
      </c>
      <c r="G222">
        <v>878</v>
      </c>
      <c r="H222">
        <v>4390</v>
      </c>
      <c r="I222" t="s">
        <v>22</v>
      </c>
      <c r="J222" s="3">
        <v>45819</v>
      </c>
      <c r="K222" t="s">
        <v>35</v>
      </c>
    </row>
    <row r="223" spans="1:11" x14ac:dyDescent="0.25">
      <c r="A223" t="s">
        <v>499</v>
      </c>
      <c r="B223" t="s">
        <v>500</v>
      </c>
      <c r="C223" t="s">
        <v>13</v>
      </c>
      <c r="D223" t="s">
        <v>14</v>
      </c>
      <c r="E223" t="s">
        <v>78</v>
      </c>
      <c r="F223">
        <v>5</v>
      </c>
      <c r="G223">
        <v>155</v>
      </c>
      <c r="H223">
        <v>775</v>
      </c>
      <c r="I223" t="s">
        <v>16</v>
      </c>
      <c r="J223" s="3">
        <v>45834</v>
      </c>
      <c r="K223" t="s">
        <v>65</v>
      </c>
    </row>
    <row r="224" spans="1:11" x14ac:dyDescent="0.25">
      <c r="A224" t="s">
        <v>501</v>
      </c>
      <c r="B224" t="s">
        <v>502</v>
      </c>
      <c r="C224" t="s">
        <v>13</v>
      </c>
      <c r="D224" t="s">
        <v>30</v>
      </c>
      <c r="E224" t="s">
        <v>62</v>
      </c>
      <c r="F224">
        <v>7</v>
      </c>
      <c r="G224">
        <v>273</v>
      </c>
      <c r="H224">
        <v>1911</v>
      </c>
      <c r="I224" t="s">
        <v>594</v>
      </c>
      <c r="J224" s="3">
        <v>45936</v>
      </c>
      <c r="K224" t="s">
        <v>17</v>
      </c>
    </row>
    <row r="225" spans="1:11" x14ac:dyDescent="0.25">
      <c r="A225" t="s">
        <v>503</v>
      </c>
      <c r="B225" t="s">
        <v>504</v>
      </c>
      <c r="C225" t="s">
        <v>13</v>
      </c>
      <c r="D225" t="s">
        <v>30</v>
      </c>
      <c r="E225" t="s">
        <v>143</v>
      </c>
      <c r="F225">
        <v>4</v>
      </c>
      <c r="G225">
        <v>637</v>
      </c>
      <c r="H225">
        <v>2548</v>
      </c>
      <c r="I225" t="s">
        <v>557</v>
      </c>
      <c r="J225" s="3">
        <v>45997</v>
      </c>
      <c r="K225" t="s">
        <v>31</v>
      </c>
    </row>
    <row r="226" spans="1:11" x14ac:dyDescent="0.25">
      <c r="A226" t="s">
        <v>505</v>
      </c>
      <c r="B226" t="s">
        <v>506</v>
      </c>
      <c r="C226" t="s">
        <v>13</v>
      </c>
      <c r="D226" t="s">
        <v>44</v>
      </c>
      <c r="E226" t="s">
        <v>45</v>
      </c>
      <c r="F226">
        <v>5</v>
      </c>
      <c r="G226">
        <v>546</v>
      </c>
      <c r="H226">
        <v>2730</v>
      </c>
      <c r="I226" t="s">
        <v>16</v>
      </c>
      <c r="J226" s="3">
        <v>45722</v>
      </c>
      <c r="K226" t="s">
        <v>35</v>
      </c>
    </row>
    <row r="227" spans="1:11" x14ac:dyDescent="0.25">
      <c r="A227" t="s">
        <v>507</v>
      </c>
      <c r="B227" t="s">
        <v>508</v>
      </c>
      <c r="C227" t="s">
        <v>13</v>
      </c>
      <c r="D227" t="s">
        <v>30</v>
      </c>
      <c r="E227" t="s">
        <v>70</v>
      </c>
      <c r="F227">
        <v>120</v>
      </c>
      <c r="G227">
        <v>176</v>
      </c>
      <c r="H227">
        <v>1056</v>
      </c>
      <c r="I227" t="s">
        <v>22</v>
      </c>
      <c r="J227" s="3">
        <v>45831</v>
      </c>
      <c r="K227" t="s">
        <v>35</v>
      </c>
    </row>
    <row r="228" spans="1:11" x14ac:dyDescent="0.25">
      <c r="A228" t="s">
        <v>509</v>
      </c>
      <c r="B228" t="s">
        <v>510</v>
      </c>
      <c r="C228" t="s">
        <v>13</v>
      </c>
      <c r="D228" t="s">
        <v>44</v>
      </c>
      <c r="E228" t="s">
        <v>175</v>
      </c>
      <c r="F228">
        <v>10</v>
      </c>
      <c r="G228">
        <v>697</v>
      </c>
      <c r="H228">
        <v>6970</v>
      </c>
      <c r="I228" t="s">
        <v>557</v>
      </c>
      <c r="J228" s="3">
        <v>45829</v>
      </c>
      <c r="K228" t="s">
        <v>35</v>
      </c>
    </row>
    <row r="229" spans="1:11" x14ac:dyDescent="0.25">
      <c r="A229" t="s">
        <v>512</v>
      </c>
      <c r="B229" t="s">
        <v>513</v>
      </c>
      <c r="C229" t="s">
        <v>13</v>
      </c>
      <c r="D229" t="s">
        <v>20</v>
      </c>
      <c r="E229" t="s">
        <v>21</v>
      </c>
      <c r="F229">
        <v>8</v>
      </c>
      <c r="G229">
        <v>86</v>
      </c>
      <c r="H229">
        <v>688</v>
      </c>
      <c r="I229" t="s">
        <v>22</v>
      </c>
      <c r="J229" s="3">
        <v>45825</v>
      </c>
      <c r="K229" t="s">
        <v>65</v>
      </c>
    </row>
    <row r="230" spans="1:11" x14ac:dyDescent="0.25">
      <c r="A230" t="s">
        <v>514</v>
      </c>
      <c r="B230" t="s">
        <v>515</v>
      </c>
      <c r="C230" t="s">
        <v>13</v>
      </c>
      <c r="D230" t="s">
        <v>30</v>
      </c>
      <c r="E230" t="s">
        <v>143</v>
      </c>
      <c r="F230">
        <v>3</v>
      </c>
      <c r="G230">
        <v>917</v>
      </c>
      <c r="H230">
        <v>2751</v>
      </c>
      <c r="I230" t="s">
        <v>557</v>
      </c>
      <c r="J230" s="3">
        <v>45831</v>
      </c>
      <c r="K230" t="s">
        <v>23</v>
      </c>
    </row>
    <row r="231" spans="1:11" x14ac:dyDescent="0.25">
      <c r="A231" t="s">
        <v>516</v>
      </c>
      <c r="B231" t="s">
        <v>555</v>
      </c>
      <c r="C231" t="s">
        <v>26</v>
      </c>
      <c r="D231" t="s">
        <v>44</v>
      </c>
      <c r="E231" t="s">
        <v>56</v>
      </c>
      <c r="F231">
        <v>9</v>
      </c>
      <c r="G231">
        <v>715</v>
      </c>
      <c r="H231">
        <v>6435</v>
      </c>
      <c r="I231" t="s">
        <v>557</v>
      </c>
      <c r="J231" s="3">
        <v>45844</v>
      </c>
      <c r="K231" t="s">
        <v>23</v>
      </c>
    </row>
    <row r="232" spans="1:11" x14ac:dyDescent="0.25">
      <c r="A232" t="s">
        <v>517</v>
      </c>
      <c r="B232" t="s">
        <v>518</v>
      </c>
      <c r="C232" t="s">
        <v>13</v>
      </c>
      <c r="D232" t="s">
        <v>20</v>
      </c>
      <c r="E232" t="s">
        <v>21</v>
      </c>
      <c r="F232">
        <v>4</v>
      </c>
      <c r="G232">
        <v>192</v>
      </c>
      <c r="H232">
        <v>768</v>
      </c>
      <c r="I232" t="s">
        <v>557</v>
      </c>
      <c r="J232" s="3">
        <v>45817</v>
      </c>
      <c r="K232" t="s">
        <v>35</v>
      </c>
    </row>
    <row r="233" spans="1:11" x14ac:dyDescent="0.25">
      <c r="A233" t="s">
        <v>520</v>
      </c>
      <c r="B233" t="s">
        <v>521</v>
      </c>
      <c r="C233" t="s">
        <v>26</v>
      </c>
      <c r="D233" t="s">
        <v>44</v>
      </c>
      <c r="E233" t="s">
        <v>56</v>
      </c>
      <c r="F233">
        <v>1</v>
      </c>
      <c r="G233">
        <v>113</v>
      </c>
      <c r="H233">
        <v>113</v>
      </c>
      <c r="I233" t="s">
        <v>22</v>
      </c>
      <c r="J233" s="3">
        <v>45967</v>
      </c>
      <c r="K233" t="s">
        <v>65</v>
      </c>
    </row>
    <row r="234" spans="1:11" x14ac:dyDescent="0.25">
      <c r="A234" t="s">
        <v>522</v>
      </c>
      <c r="B234" t="s">
        <v>523</v>
      </c>
      <c r="C234" t="s">
        <v>13</v>
      </c>
      <c r="D234" t="s">
        <v>14</v>
      </c>
      <c r="E234" t="s">
        <v>15</v>
      </c>
      <c r="F234">
        <v>5</v>
      </c>
      <c r="G234">
        <v>924</v>
      </c>
      <c r="H234">
        <v>4620</v>
      </c>
      <c r="I234" t="s">
        <v>16</v>
      </c>
      <c r="J234" s="3">
        <v>45783</v>
      </c>
      <c r="K234" t="s">
        <v>35</v>
      </c>
    </row>
    <row r="235" spans="1:11" x14ac:dyDescent="0.25">
      <c r="A235" t="s">
        <v>524</v>
      </c>
      <c r="B235" t="s">
        <v>525</v>
      </c>
      <c r="C235" t="s">
        <v>13</v>
      </c>
      <c r="D235" t="s">
        <v>44</v>
      </c>
      <c r="E235" t="s">
        <v>45</v>
      </c>
      <c r="F235">
        <v>1</v>
      </c>
      <c r="G235">
        <v>968</v>
      </c>
      <c r="H235">
        <v>968</v>
      </c>
      <c r="I235" t="s">
        <v>22</v>
      </c>
      <c r="J235" s="3">
        <v>45835</v>
      </c>
      <c r="K235" t="s">
        <v>79</v>
      </c>
    </row>
    <row r="236" spans="1:11" x14ac:dyDescent="0.25">
      <c r="A236" t="s">
        <v>526</v>
      </c>
      <c r="B236" t="s">
        <v>527</v>
      </c>
      <c r="C236" t="s">
        <v>26</v>
      </c>
      <c r="D236" t="s">
        <v>14</v>
      </c>
      <c r="E236" t="s">
        <v>99</v>
      </c>
      <c r="F236">
        <v>6</v>
      </c>
      <c r="G236">
        <v>681</v>
      </c>
      <c r="H236">
        <v>4086</v>
      </c>
      <c r="I236" t="s">
        <v>557</v>
      </c>
      <c r="J236" s="3">
        <v>45826</v>
      </c>
      <c r="K236" t="s">
        <v>79</v>
      </c>
    </row>
    <row r="237" spans="1:11" x14ac:dyDescent="0.25">
      <c r="A237" t="s">
        <v>528</v>
      </c>
      <c r="B237" t="s">
        <v>529</v>
      </c>
      <c r="C237" t="s">
        <v>26</v>
      </c>
      <c r="D237" t="s">
        <v>14</v>
      </c>
      <c r="E237" t="s">
        <v>109</v>
      </c>
      <c r="F237">
        <v>10</v>
      </c>
      <c r="G237">
        <v>460</v>
      </c>
      <c r="H237">
        <v>4600</v>
      </c>
      <c r="I237" t="s">
        <v>16</v>
      </c>
      <c r="J237" s="3">
        <v>45821</v>
      </c>
      <c r="K237" t="s">
        <v>35</v>
      </c>
    </row>
    <row r="238" spans="1:11" x14ac:dyDescent="0.25">
      <c r="A238" t="s">
        <v>530</v>
      </c>
      <c r="B238" t="s">
        <v>531</v>
      </c>
      <c r="C238" t="s">
        <v>13</v>
      </c>
      <c r="D238" t="s">
        <v>14</v>
      </c>
      <c r="E238" t="s">
        <v>48</v>
      </c>
      <c r="F238">
        <v>1</v>
      </c>
      <c r="G238">
        <v>644</v>
      </c>
      <c r="H238">
        <v>644</v>
      </c>
      <c r="I238" t="s">
        <v>594</v>
      </c>
      <c r="J238" s="3">
        <v>45844</v>
      </c>
      <c r="K238" t="s">
        <v>17</v>
      </c>
    </row>
    <row r="239" spans="1:11" x14ac:dyDescent="0.25">
      <c r="A239" t="s">
        <v>532</v>
      </c>
      <c r="B239" t="s">
        <v>533</v>
      </c>
      <c r="C239" t="s">
        <v>13</v>
      </c>
      <c r="D239" t="s">
        <v>20</v>
      </c>
      <c r="E239" t="s">
        <v>88</v>
      </c>
      <c r="F239">
        <v>2</v>
      </c>
      <c r="G239">
        <v>219</v>
      </c>
      <c r="H239">
        <v>438</v>
      </c>
      <c r="I239" t="s">
        <v>22</v>
      </c>
      <c r="J239" s="3">
        <v>45826</v>
      </c>
      <c r="K239" t="s">
        <v>35</v>
      </c>
    </row>
    <row r="240" spans="1:11" x14ac:dyDescent="0.25">
      <c r="A240" t="s">
        <v>534</v>
      </c>
      <c r="B240" t="s">
        <v>535</v>
      </c>
      <c r="C240" t="s">
        <v>26</v>
      </c>
      <c r="D240" t="s">
        <v>20</v>
      </c>
      <c r="E240" t="s">
        <v>75</v>
      </c>
      <c r="F240">
        <v>6</v>
      </c>
      <c r="G240">
        <v>894</v>
      </c>
      <c r="H240">
        <v>5364</v>
      </c>
      <c r="I240" t="s">
        <v>594</v>
      </c>
      <c r="J240" s="3">
        <v>45835</v>
      </c>
      <c r="K240" t="s">
        <v>17</v>
      </c>
    </row>
    <row r="241" spans="1:11" x14ac:dyDescent="0.25">
      <c r="A241" t="s">
        <v>536</v>
      </c>
      <c r="B241" t="s">
        <v>537</v>
      </c>
      <c r="C241" t="s">
        <v>26</v>
      </c>
      <c r="D241" t="s">
        <v>20</v>
      </c>
      <c r="E241" t="s">
        <v>75</v>
      </c>
      <c r="F241">
        <v>7</v>
      </c>
      <c r="G241">
        <v>437</v>
      </c>
      <c r="H241">
        <v>3059</v>
      </c>
      <c r="I241" t="s">
        <v>594</v>
      </c>
      <c r="J241" s="3">
        <v>45830</v>
      </c>
      <c r="K241" t="s">
        <v>35</v>
      </c>
    </row>
    <row r="242" spans="1:11" x14ac:dyDescent="0.25">
      <c r="A242" t="s">
        <v>538</v>
      </c>
      <c r="B242" t="s">
        <v>539</v>
      </c>
      <c r="C242" t="s">
        <v>26</v>
      </c>
      <c r="D242" t="s">
        <v>44</v>
      </c>
      <c r="E242" t="s">
        <v>45</v>
      </c>
      <c r="F242">
        <v>7</v>
      </c>
      <c r="G242">
        <v>431</v>
      </c>
      <c r="H242">
        <v>3017</v>
      </c>
      <c r="I242" t="s">
        <v>22</v>
      </c>
      <c r="J242" s="3">
        <v>45825</v>
      </c>
      <c r="K242" t="s">
        <v>65</v>
      </c>
    </row>
    <row r="243" spans="1:11" x14ac:dyDescent="0.25">
      <c r="A243" t="s">
        <v>540</v>
      </c>
      <c r="B243" t="s">
        <v>541</v>
      </c>
      <c r="C243" t="s">
        <v>26</v>
      </c>
      <c r="D243" t="s">
        <v>44</v>
      </c>
      <c r="E243" t="s">
        <v>170</v>
      </c>
      <c r="F243">
        <v>6</v>
      </c>
      <c r="G243">
        <v>352</v>
      </c>
      <c r="H243">
        <v>2112</v>
      </c>
      <c r="I243" t="s">
        <v>557</v>
      </c>
      <c r="J243" s="3">
        <v>45833</v>
      </c>
      <c r="K243" t="s">
        <v>79</v>
      </c>
    </row>
    <row r="244" spans="1:11" x14ac:dyDescent="0.25">
      <c r="A244" t="s">
        <v>542</v>
      </c>
      <c r="B244" t="s">
        <v>587</v>
      </c>
      <c r="C244" t="s">
        <v>26</v>
      </c>
      <c r="D244" t="s">
        <v>14</v>
      </c>
      <c r="E244" t="s">
        <v>78</v>
      </c>
      <c r="F244">
        <v>1</v>
      </c>
      <c r="G244">
        <f>H244/F244</f>
        <v>623</v>
      </c>
      <c r="H244">
        <v>623</v>
      </c>
      <c r="I244" t="s">
        <v>557</v>
      </c>
      <c r="J244" s="3">
        <v>45831</v>
      </c>
      <c r="K244" t="s">
        <v>65</v>
      </c>
    </row>
    <row r="245" spans="1:11" x14ac:dyDescent="0.25">
      <c r="A245" t="s">
        <v>543</v>
      </c>
      <c r="B245" t="s">
        <v>544</v>
      </c>
      <c r="C245" t="s">
        <v>26</v>
      </c>
      <c r="D245" t="s">
        <v>30</v>
      </c>
      <c r="E245" t="s">
        <v>143</v>
      </c>
      <c r="F245">
        <v>3</v>
      </c>
      <c r="G245">
        <v>695</v>
      </c>
      <c r="H245">
        <v>2085</v>
      </c>
      <c r="I245" t="s">
        <v>557</v>
      </c>
      <c r="J245" s="3">
        <v>45836</v>
      </c>
      <c r="K245" t="s">
        <v>65</v>
      </c>
    </row>
    <row r="246" spans="1:11" x14ac:dyDescent="0.25">
      <c r="A246" t="s">
        <v>545</v>
      </c>
      <c r="B246" t="s">
        <v>546</v>
      </c>
      <c r="C246" t="s">
        <v>13</v>
      </c>
      <c r="D246" t="s">
        <v>14</v>
      </c>
      <c r="E246" t="s">
        <v>48</v>
      </c>
      <c r="F246">
        <v>5</v>
      </c>
      <c r="G246">
        <v>917</v>
      </c>
      <c r="H246">
        <v>4585</v>
      </c>
      <c r="I246" t="s">
        <v>16</v>
      </c>
      <c r="J246" s="3">
        <v>45828</v>
      </c>
      <c r="K246" t="s">
        <v>17</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82A1-4CBA-4406-8483-AF4658803871}">
  <dimension ref="A2:B12"/>
  <sheetViews>
    <sheetView workbookViewId="0">
      <selection activeCell="G23" sqref="G23"/>
    </sheetView>
  </sheetViews>
  <sheetFormatPr defaultRowHeight="15" x14ac:dyDescent="0.25"/>
  <cols>
    <col min="1" max="1" width="13.28515625" bestFit="1" customWidth="1"/>
    <col min="2" max="2" width="15.42578125" bestFit="1" customWidth="1"/>
  </cols>
  <sheetData>
    <row r="2" spans="1:2" x14ac:dyDescent="0.25">
      <c r="A2" s="17"/>
      <c r="B2" s="17"/>
    </row>
    <row r="3" spans="1:2" x14ac:dyDescent="0.25">
      <c r="A3" s="18" t="s">
        <v>588</v>
      </c>
      <c r="B3" s="17" t="s">
        <v>591</v>
      </c>
    </row>
    <row r="4" spans="1:2" x14ac:dyDescent="0.25">
      <c r="A4" s="19" t="s">
        <v>20</v>
      </c>
      <c r="B4" s="17">
        <v>380</v>
      </c>
    </row>
    <row r="5" spans="1:2" x14ac:dyDescent="0.25">
      <c r="A5" s="19" t="s">
        <v>30</v>
      </c>
      <c r="B5" s="17">
        <v>519</v>
      </c>
    </row>
    <row r="6" spans="1:2" x14ac:dyDescent="0.25">
      <c r="A6" s="19" t="s">
        <v>44</v>
      </c>
      <c r="B6" s="17">
        <v>292</v>
      </c>
    </row>
    <row r="7" spans="1:2" x14ac:dyDescent="0.25">
      <c r="A7" s="19" t="s">
        <v>14</v>
      </c>
      <c r="B7" s="17">
        <v>475</v>
      </c>
    </row>
    <row r="8" spans="1:2" x14ac:dyDescent="0.25">
      <c r="A8" s="19" t="s">
        <v>589</v>
      </c>
      <c r="B8" s="17">
        <v>1666</v>
      </c>
    </row>
    <row r="9" spans="1:2" x14ac:dyDescent="0.25">
      <c r="A9" s="17"/>
      <c r="B9" s="17"/>
    </row>
    <row r="10" spans="1:2" x14ac:dyDescent="0.25">
      <c r="A10" s="17"/>
      <c r="B10" s="17"/>
    </row>
    <row r="11" spans="1:2" x14ac:dyDescent="0.25">
      <c r="A11" s="17"/>
      <c r="B11" s="17">
        <f>GETPIVOTDATA("Quantity",$A$3)</f>
        <v>1666</v>
      </c>
    </row>
    <row r="12" spans="1:2" x14ac:dyDescent="0.25">
      <c r="A12" s="17"/>
      <c r="B12" s="1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85543-E279-4439-AC4B-E3F720644870}">
  <dimension ref="A1:D10"/>
  <sheetViews>
    <sheetView workbookViewId="0">
      <selection activeCell="D8" sqref="D8"/>
    </sheetView>
  </sheetViews>
  <sheetFormatPr defaultRowHeight="15" x14ac:dyDescent="0.25"/>
  <cols>
    <col min="1" max="1" width="13.28515625" bestFit="1" customWidth="1"/>
    <col min="2" max="2" width="20.42578125" bestFit="1" customWidth="1"/>
    <col min="3" max="3" width="18.5703125" bestFit="1" customWidth="1"/>
  </cols>
  <sheetData>
    <row r="1" spans="1:4" x14ac:dyDescent="0.25">
      <c r="A1" s="12"/>
      <c r="B1" s="12"/>
      <c r="C1" s="12"/>
      <c r="D1" s="12"/>
    </row>
    <row r="2" spans="1:4" x14ac:dyDescent="0.25">
      <c r="A2" s="12"/>
      <c r="B2" s="12"/>
      <c r="C2" s="12"/>
      <c r="D2" s="12"/>
    </row>
    <row r="3" spans="1:4" x14ac:dyDescent="0.25">
      <c r="A3" s="11" t="s">
        <v>588</v>
      </c>
      <c r="B3" s="12" t="s">
        <v>590</v>
      </c>
      <c r="C3" s="12" t="s">
        <v>592</v>
      </c>
      <c r="D3" s="12"/>
    </row>
    <row r="4" spans="1:4" x14ac:dyDescent="0.25">
      <c r="A4" s="13" t="s">
        <v>20</v>
      </c>
      <c r="B4" s="12">
        <v>194858</v>
      </c>
      <c r="C4" s="12">
        <v>63</v>
      </c>
      <c r="D4" s="12"/>
    </row>
    <row r="5" spans="1:4" x14ac:dyDescent="0.25">
      <c r="A5" s="13" t="s">
        <v>30</v>
      </c>
      <c r="B5" s="12">
        <v>208411</v>
      </c>
      <c r="C5" s="12">
        <v>68</v>
      </c>
      <c r="D5" s="12"/>
    </row>
    <row r="6" spans="1:4" x14ac:dyDescent="0.25">
      <c r="A6" s="13" t="s">
        <v>44</v>
      </c>
      <c r="B6" s="12">
        <v>167802</v>
      </c>
      <c r="C6" s="12">
        <v>52</v>
      </c>
      <c r="D6" s="12"/>
    </row>
    <row r="7" spans="1:4" x14ac:dyDescent="0.25">
      <c r="A7" s="13" t="s">
        <v>14</v>
      </c>
      <c r="B7" s="12">
        <v>176459</v>
      </c>
      <c r="C7" s="12">
        <v>62</v>
      </c>
      <c r="D7" s="12" t="s">
        <v>593</v>
      </c>
    </row>
    <row r="8" spans="1:4" x14ac:dyDescent="0.25">
      <c r="A8" s="13" t="s">
        <v>589</v>
      </c>
      <c r="B8" s="12">
        <v>747530</v>
      </c>
      <c r="C8" s="12">
        <v>245</v>
      </c>
      <c r="D8" s="12">
        <f>GETPIVOTDATA("Sum of Total_Amount",$A$3)/GETPIVOTDATA("Count of Invoice_ID",$A$3)</f>
        <v>3051.1428571428573</v>
      </c>
    </row>
    <row r="9" spans="1:4" x14ac:dyDescent="0.25">
      <c r="A9" s="12"/>
      <c r="B9" s="12"/>
      <c r="C9" s="12"/>
      <c r="D9" s="12"/>
    </row>
    <row r="10" spans="1:4" x14ac:dyDescent="0.25">
      <c r="A10" s="12"/>
      <c r="B10" s="12"/>
      <c r="C10" s="12"/>
      <c r="D10"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0A37-99D7-4788-AE41-F64893A560DE}">
  <dimension ref="A3:B11"/>
  <sheetViews>
    <sheetView workbookViewId="0"/>
  </sheetViews>
  <sheetFormatPr defaultRowHeight="15" x14ac:dyDescent="0.25"/>
  <cols>
    <col min="1" max="1" width="13.140625" bestFit="1" customWidth="1"/>
    <col min="2" max="2" width="20.42578125" bestFit="1" customWidth="1"/>
    <col min="3" max="3" width="18.5703125" bestFit="1" customWidth="1"/>
  </cols>
  <sheetData>
    <row r="3" spans="1:2" x14ac:dyDescent="0.25">
      <c r="A3" s="6" t="s">
        <v>588</v>
      </c>
      <c r="B3" t="s">
        <v>590</v>
      </c>
    </row>
    <row r="4" spans="1:2" x14ac:dyDescent="0.25">
      <c r="A4" s="7" t="s">
        <v>65</v>
      </c>
      <c r="B4" s="21">
        <v>128857</v>
      </c>
    </row>
    <row r="5" spans="1:2" x14ac:dyDescent="0.25">
      <c r="A5" s="7" t="s">
        <v>23</v>
      </c>
      <c r="B5" s="21">
        <v>134039</v>
      </c>
    </row>
    <row r="6" spans="1:2" x14ac:dyDescent="0.25">
      <c r="A6" s="7" t="s">
        <v>31</v>
      </c>
      <c r="B6" s="21">
        <v>90251</v>
      </c>
    </row>
    <row r="7" spans="1:2" x14ac:dyDescent="0.25">
      <c r="A7" s="7" t="s">
        <v>79</v>
      </c>
      <c r="B7" s="21">
        <v>111726</v>
      </c>
    </row>
    <row r="8" spans="1:2" x14ac:dyDescent="0.25">
      <c r="A8" s="7" t="s">
        <v>35</v>
      </c>
      <c r="B8" s="21">
        <v>109034</v>
      </c>
    </row>
    <row r="9" spans="1:2" x14ac:dyDescent="0.25">
      <c r="A9" s="7" t="s">
        <v>587</v>
      </c>
      <c r="B9" s="21">
        <v>23658</v>
      </c>
    </row>
    <row r="10" spans="1:2" x14ac:dyDescent="0.25">
      <c r="A10" s="7" t="s">
        <v>17</v>
      </c>
      <c r="B10" s="21">
        <v>149965</v>
      </c>
    </row>
    <row r="11" spans="1:2" x14ac:dyDescent="0.25">
      <c r="A11" s="7" t="s">
        <v>589</v>
      </c>
      <c r="B11" s="21">
        <v>747530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9C46-EE5A-4BE5-84B9-73F7A9358B5B}">
  <dimension ref="A3:B8"/>
  <sheetViews>
    <sheetView workbookViewId="0">
      <selection activeCell="D5" sqref="D5"/>
    </sheetView>
  </sheetViews>
  <sheetFormatPr defaultRowHeight="15" x14ac:dyDescent="0.25"/>
  <cols>
    <col min="1" max="1" width="13.28515625" bestFit="1" customWidth="1"/>
    <col min="2" max="3" width="18.5703125" bestFit="1" customWidth="1"/>
  </cols>
  <sheetData>
    <row r="3" spans="1:2" x14ac:dyDescent="0.25">
      <c r="A3" s="6" t="s">
        <v>588</v>
      </c>
      <c r="B3" t="s">
        <v>592</v>
      </c>
    </row>
    <row r="4" spans="1:2" x14ac:dyDescent="0.25">
      <c r="A4" s="7" t="s">
        <v>20</v>
      </c>
      <c r="B4" s="21">
        <v>63</v>
      </c>
    </row>
    <row r="5" spans="1:2" x14ac:dyDescent="0.25">
      <c r="A5" s="7" t="s">
        <v>30</v>
      </c>
      <c r="B5" s="21">
        <v>68</v>
      </c>
    </row>
    <row r="6" spans="1:2" x14ac:dyDescent="0.25">
      <c r="A6" s="7" t="s">
        <v>44</v>
      </c>
      <c r="B6" s="21">
        <v>52</v>
      </c>
    </row>
    <row r="7" spans="1:2" x14ac:dyDescent="0.25">
      <c r="A7" s="7" t="s">
        <v>14</v>
      </c>
      <c r="B7" s="21">
        <v>62</v>
      </c>
    </row>
    <row r="8" spans="1:2" x14ac:dyDescent="0.25">
      <c r="A8" s="7" t="s">
        <v>589</v>
      </c>
      <c r="B8" s="21">
        <v>245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4954-CF42-460C-BD45-4E153F438348}">
  <dimension ref="A3:B7"/>
  <sheetViews>
    <sheetView workbookViewId="0">
      <selection activeCell="M14" sqref="M14"/>
    </sheetView>
  </sheetViews>
  <sheetFormatPr defaultRowHeight="15" x14ac:dyDescent="0.25"/>
  <cols>
    <col min="1" max="1" width="13.140625" bestFit="1" customWidth="1"/>
    <col min="2" max="2" width="20.42578125" bestFit="1" customWidth="1"/>
    <col min="3" max="3" width="18.5703125" bestFit="1" customWidth="1"/>
  </cols>
  <sheetData>
    <row r="3" spans="1:2" x14ac:dyDescent="0.25">
      <c r="A3" s="6" t="s">
        <v>588</v>
      </c>
      <c r="B3" t="s">
        <v>590</v>
      </c>
    </row>
    <row r="4" spans="1:2" x14ac:dyDescent="0.25">
      <c r="A4" s="7" t="s">
        <v>13</v>
      </c>
      <c r="B4" s="21">
        <v>381759</v>
      </c>
    </row>
    <row r="5" spans="1:2" x14ac:dyDescent="0.25">
      <c r="A5" s="7" t="s">
        <v>26</v>
      </c>
      <c r="B5" s="21">
        <v>362762</v>
      </c>
    </row>
    <row r="6" spans="1:2" x14ac:dyDescent="0.25">
      <c r="A6" s="7" t="s">
        <v>587</v>
      </c>
      <c r="B6" s="21">
        <v>3009</v>
      </c>
    </row>
    <row r="7" spans="1:2" x14ac:dyDescent="0.25">
      <c r="A7" s="7" t="s">
        <v>589</v>
      </c>
      <c r="B7" s="21">
        <v>747530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49B06-F2B0-4690-AC4D-BC2150E996E2}">
  <dimension ref="A3:B40"/>
  <sheetViews>
    <sheetView workbookViewId="0"/>
  </sheetViews>
  <sheetFormatPr defaultRowHeight="15" x14ac:dyDescent="0.25"/>
  <cols>
    <col min="1" max="1" width="13.140625" bestFit="1" customWidth="1"/>
    <col min="2" max="2" width="20.42578125" bestFit="1" customWidth="1"/>
    <col min="3" max="3" width="18.5703125" bestFit="1" customWidth="1"/>
  </cols>
  <sheetData>
    <row r="3" spans="1:2" x14ac:dyDescent="0.25">
      <c r="A3" s="6" t="s">
        <v>588</v>
      </c>
      <c r="B3" t="s">
        <v>590</v>
      </c>
    </row>
    <row r="4" spans="1:2" x14ac:dyDescent="0.25">
      <c r="A4" s="8">
        <v>45664</v>
      </c>
      <c r="B4" s="21">
        <v>22671</v>
      </c>
    </row>
    <row r="5" spans="1:2" x14ac:dyDescent="0.25">
      <c r="A5" s="8">
        <v>45695</v>
      </c>
      <c r="B5" s="21">
        <v>30041</v>
      </c>
    </row>
    <row r="6" spans="1:2" x14ac:dyDescent="0.25">
      <c r="A6" s="8">
        <v>45722</v>
      </c>
      <c r="B6" s="21">
        <v>41184</v>
      </c>
    </row>
    <row r="7" spans="1:2" x14ac:dyDescent="0.25">
      <c r="A7" s="8">
        <v>45753</v>
      </c>
      <c r="B7" s="21">
        <v>29447</v>
      </c>
    </row>
    <row r="8" spans="1:2" x14ac:dyDescent="0.25">
      <c r="A8" s="8">
        <v>45783</v>
      </c>
      <c r="B8" s="21">
        <v>7736</v>
      </c>
    </row>
    <row r="9" spans="1:2" x14ac:dyDescent="0.25">
      <c r="A9" s="8">
        <v>45813</v>
      </c>
      <c r="B9" s="21">
        <v>5936</v>
      </c>
    </row>
    <row r="10" spans="1:2" x14ac:dyDescent="0.25">
      <c r="A10" s="8">
        <v>45814</v>
      </c>
      <c r="B10" s="21">
        <v>24342</v>
      </c>
    </row>
    <row r="11" spans="1:2" x14ac:dyDescent="0.25">
      <c r="A11" s="8">
        <v>45815</v>
      </c>
      <c r="B11" s="21">
        <v>4440</v>
      </c>
    </row>
    <row r="12" spans="1:2" x14ac:dyDescent="0.25">
      <c r="A12" s="8">
        <v>45817</v>
      </c>
      <c r="B12" s="21">
        <v>1616</v>
      </c>
    </row>
    <row r="13" spans="1:2" x14ac:dyDescent="0.25">
      <c r="A13" s="8">
        <v>45818</v>
      </c>
      <c r="B13" s="21">
        <v>628</v>
      </c>
    </row>
    <row r="14" spans="1:2" x14ac:dyDescent="0.25">
      <c r="A14" s="8">
        <v>45819</v>
      </c>
      <c r="B14" s="21">
        <v>4390</v>
      </c>
    </row>
    <row r="15" spans="1:2" x14ac:dyDescent="0.25">
      <c r="A15" s="8">
        <v>45820</v>
      </c>
      <c r="B15" s="21">
        <v>6512</v>
      </c>
    </row>
    <row r="16" spans="1:2" x14ac:dyDescent="0.25">
      <c r="A16" s="8">
        <v>45821</v>
      </c>
      <c r="B16" s="21">
        <v>22395</v>
      </c>
    </row>
    <row r="17" spans="1:2" x14ac:dyDescent="0.25">
      <c r="A17" s="8">
        <v>45822</v>
      </c>
      <c r="B17" s="21">
        <v>18613</v>
      </c>
    </row>
    <row r="18" spans="1:2" x14ac:dyDescent="0.25">
      <c r="A18" s="8">
        <v>45823</v>
      </c>
      <c r="B18" s="21">
        <v>26474</v>
      </c>
    </row>
    <row r="19" spans="1:2" x14ac:dyDescent="0.25">
      <c r="A19" s="8">
        <v>45824</v>
      </c>
      <c r="B19" s="21">
        <v>17562</v>
      </c>
    </row>
    <row r="20" spans="1:2" x14ac:dyDescent="0.25">
      <c r="A20" s="8">
        <v>45825</v>
      </c>
      <c r="B20" s="21">
        <v>17662</v>
      </c>
    </row>
    <row r="21" spans="1:2" x14ac:dyDescent="0.25">
      <c r="A21" s="8">
        <v>45826</v>
      </c>
      <c r="B21" s="21">
        <v>36732</v>
      </c>
    </row>
    <row r="22" spans="1:2" x14ac:dyDescent="0.25">
      <c r="A22" s="8">
        <v>45827</v>
      </c>
      <c r="B22" s="21">
        <v>20264</v>
      </c>
    </row>
    <row r="23" spans="1:2" x14ac:dyDescent="0.25">
      <c r="A23" s="8">
        <v>45828</v>
      </c>
      <c r="B23" s="21">
        <v>33532</v>
      </c>
    </row>
    <row r="24" spans="1:2" x14ac:dyDescent="0.25">
      <c r="A24" s="8">
        <v>45829</v>
      </c>
      <c r="B24" s="21">
        <v>25985</v>
      </c>
    </row>
    <row r="25" spans="1:2" x14ac:dyDescent="0.25">
      <c r="A25" s="8">
        <v>45830</v>
      </c>
      <c r="B25" s="21">
        <v>43169</v>
      </c>
    </row>
    <row r="26" spans="1:2" x14ac:dyDescent="0.25">
      <c r="A26" s="8">
        <v>45831</v>
      </c>
      <c r="B26" s="21">
        <v>38124</v>
      </c>
    </row>
    <row r="27" spans="1:2" x14ac:dyDescent="0.25">
      <c r="A27" s="8">
        <v>45832</v>
      </c>
      <c r="B27" s="21">
        <v>15468</v>
      </c>
    </row>
    <row r="28" spans="1:2" x14ac:dyDescent="0.25">
      <c r="A28" s="8">
        <v>45833</v>
      </c>
      <c r="B28" s="21">
        <v>30477</v>
      </c>
    </row>
    <row r="29" spans="1:2" x14ac:dyDescent="0.25">
      <c r="A29" s="8">
        <v>45834</v>
      </c>
      <c r="B29" s="21">
        <v>18088</v>
      </c>
    </row>
    <row r="30" spans="1:2" x14ac:dyDescent="0.25">
      <c r="A30" s="8">
        <v>45835</v>
      </c>
      <c r="B30" s="21">
        <v>35438</v>
      </c>
    </row>
    <row r="31" spans="1:2" x14ac:dyDescent="0.25">
      <c r="A31" s="8">
        <v>45836</v>
      </c>
      <c r="B31" s="21">
        <v>27086</v>
      </c>
    </row>
    <row r="32" spans="1:2" x14ac:dyDescent="0.25">
      <c r="A32" s="8">
        <v>45837</v>
      </c>
      <c r="B32" s="21">
        <v>27165</v>
      </c>
    </row>
    <row r="33" spans="1:2" x14ac:dyDescent="0.25">
      <c r="A33" s="8">
        <v>45838</v>
      </c>
      <c r="B33" s="21">
        <v>11606</v>
      </c>
    </row>
    <row r="34" spans="1:2" x14ac:dyDescent="0.25">
      <c r="A34" s="8">
        <v>45844</v>
      </c>
      <c r="B34" s="21">
        <v>23314</v>
      </c>
    </row>
    <row r="35" spans="1:2" x14ac:dyDescent="0.25">
      <c r="A35" s="8">
        <v>45875</v>
      </c>
      <c r="B35" s="21">
        <v>26230</v>
      </c>
    </row>
    <row r="36" spans="1:2" x14ac:dyDescent="0.25">
      <c r="A36" s="8">
        <v>45906</v>
      </c>
      <c r="B36" s="21">
        <v>4619</v>
      </c>
    </row>
    <row r="37" spans="1:2" x14ac:dyDescent="0.25">
      <c r="A37" s="8">
        <v>45936</v>
      </c>
      <c r="B37" s="21">
        <v>17163</v>
      </c>
    </row>
    <row r="38" spans="1:2" x14ac:dyDescent="0.25">
      <c r="A38" s="8">
        <v>45967</v>
      </c>
      <c r="B38" s="21">
        <v>24121</v>
      </c>
    </row>
    <row r="39" spans="1:2" x14ac:dyDescent="0.25">
      <c r="A39" s="8">
        <v>45997</v>
      </c>
      <c r="B39" s="21">
        <v>7300</v>
      </c>
    </row>
    <row r="40" spans="1:2" x14ac:dyDescent="0.25">
      <c r="A40" s="8" t="s">
        <v>589</v>
      </c>
      <c r="B40" s="21">
        <v>747530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F64DA-9377-41C0-B925-D9485B5D081A}">
  <dimension ref="G2"/>
  <sheetViews>
    <sheetView showGridLines="0" tabSelected="1" topLeftCell="A7" zoomScale="70" zoomScaleNormal="70" workbookViewId="0"/>
  </sheetViews>
  <sheetFormatPr defaultRowHeight="15" x14ac:dyDescent="0.25"/>
  <cols>
    <col min="1" max="16384" width="9.140625" style="10"/>
  </cols>
  <sheetData>
    <row r="2" spans="7:7" x14ac:dyDescent="0.25">
      <c r="G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B8BD-BE96-444E-BC7F-55D871480E51}">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Sheet3</vt:lpstr>
      <vt:lpstr>Sheet2</vt:lpstr>
      <vt:lpstr>Sheet4</vt:lpstr>
      <vt:lpstr>Sheet5</vt:lpstr>
      <vt:lpstr>Sheet6</vt:lpstr>
      <vt:lpstr>Sheet7</vt:lpstr>
      <vt:lpstr>Sheet8</vt:lpstr>
      <vt:lpstr>Sheet9</vt:lpstr>
      <vt:lpstr>Sheet12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shukurat ajibade</dc:creator>
  <cp:lastModifiedBy>shukurat ajibade</cp:lastModifiedBy>
  <dcterms:created xsi:type="dcterms:W3CDTF">2026-02-08T20:09:12Z</dcterms:created>
  <dcterms:modified xsi:type="dcterms:W3CDTF">2026-02-20T22:42:44Z</dcterms:modified>
</cp:coreProperties>
</file>